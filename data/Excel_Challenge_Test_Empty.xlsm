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02"/>
  <workbookPr defaultThemeVersion="166925"/>
  <xr:revisionPtr revIDLastSave="0" documentId="8_{44D133BC-A325-48A5-9A95-4D1739F0CC16}" xr6:coauthVersionLast="47" xr6:coauthVersionMax="47" xr10:uidLastSave="{00000000-0000-0000-0000-000000000000}"/>
  <bookViews>
    <workbookView xWindow="0" yWindow="0" windowWidth="16384" windowHeight="8192" tabRatio="500" firstSheet="6" activeTab="9" xr2:uid="{00000000-000D-0000-FFFF-FFFF00000000}"/>
  </bookViews>
  <sheets>
    <sheet name="Introduction " sheetId="1" r:id="rId1"/>
    <sheet name="Task 1-Contract Work" sheetId="2" r:id="rId2"/>
    <sheet name="Tables" sheetId="3" r:id="rId3"/>
    <sheet name="Task 2-Total Pay Report " sheetId="4" r:id="rId4"/>
    <sheet name="Task 3-Employee Name Report " sheetId="5" r:id="rId5"/>
    <sheet name="Task 4-Summarize Sales" sheetId="6" r:id="rId6"/>
    <sheet name="Task 5-Analyze Stock Returns " sheetId="7" r:id="rId7"/>
    <sheet name="Task 6- Outlining" sheetId="8" r:id="rId8"/>
    <sheet name="Task 7- Data Validation" sheetId="9" r:id="rId9"/>
    <sheet name="Task 8- Pivot Tables" sheetId="10" r:id="rId10"/>
    <sheet name="Scoring Guide" sheetId="11" r:id="rId11"/>
  </sheets>
  <definedNames>
    <definedName name="_xlnm._FilterDatabase" localSheetId="1">'Task 1-Contract Work'!$B$9:$J$111</definedName>
    <definedName name="_xlnm._FilterDatabase" localSheetId="5">'Task 4-Summarize Sales'!$B$7:$F$89</definedName>
    <definedName name="_xlnm._FilterDatabase" localSheetId="9">'Task 8- Pivot Tables'!$C$8:$G$224</definedName>
    <definedName name="Clients">Tables!$C$19:$D$28</definedName>
    <definedName name="CriteriaList" localSheetId="8">'Task 7- Data Validation'!$J$7:$J$16</definedName>
    <definedName name="_xlnm.Database">'Task 8- Pivot Tables'!$C$8:$G$224</definedName>
    <definedName name="Employees">Tables!$C$33:$E$72</definedName>
    <definedName name="PMReturns" localSheetId="6">'Task 5-Analyze Stock Returns '!$F$12:$F$94</definedName>
    <definedName name="Work_Codes">Tables!$C$12:$E$14</definedName>
  </definedNames>
  <calcPr calcId="191028" iterateDelta="1E-4" calcCompleted="0"/>
  <pivotCaches>
    <pivotCache cacheId="9864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1" i="4" l="1"/>
  <c r="E65" i="11"/>
  <c r="D65" i="11"/>
  <c r="E67" i="11" s="1"/>
  <c r="Q20" i="8"/>
  <c r="P20" i="8"/>
  <c r="O20" i="8"/>
  <c r="M20" i="8"/>
  <c r="L20" i="8"/>
  <c r="K20" i="8"/>
  <c r="I20" i="8"/>
  <c r="H20" i="8"/>
  <c r="G20" i="8"/>
  <c r="E20" i="8"/>
  <c r="D20" i="8"/>
  <c r="C20" i="8"/>
  <c r="R19" i="8"/>
  <c r="R18" i="8"/>
  <c r="R17" i="8"/>
  <c r="Q15" i="8"/>
  <c r="P15" i="8"/>
  <c r="O15" i="8"/>
  <c r="M15" i="8"/>
  <c r="L15" i="8"/>
  <c r="K15" i="8"/>
  <c r="I15" i="8"/>
  <c r="H15" i="8"/>
  <c r="G15" i="8"/>
  <c r="E15" i="8"/>
  <c r="D15" i="8"/>
  <c r="C15" i="8"/>
  <c r="R14" i="8"/>
  <c r="R13" i="8"/>
  <c r="R12" i="8"/>
  <c r="Q10" i="8"/>
  <c r="Q21" i="8" s="1"/>
  <c r="P10" i="8"/>
  <c r="P21" i="8" s="1"/>
  <c r="O10" i="8"/>
  <c r="M10" i="8"/>
  <c r="M21" i="8" s="1"/>
  <c r="L10" i="8"/>
  <c r="L21" i="8" s="1"/>
  <c r="K10" i="8"/>
  <c r="K21" i="8" s="1"/>
  <c r="I10" i="8"/>
  <c r="I21" i="8" s="1"/>
  <c r="H10" i="8"/>
  <c r="H21" i="8" s="1"/>
  <c r="G10" i="8"/>
  <c r="G21" i="8" s="1"/>
  <c r="E10" i="8"/>
  <c r="E21" i="8" s="1"/>
  <c r="D10" i="8"/>
  <c r="D21" i="8" s="1"/>
  <c r="C10" i="8"/>
  <c r="C21" i="8" s="1"/>
  <c r="R9" i="8"/>
  <c r="N9" i="8"/>
  <c r="J9" i="8"/>
  <c r="F9" i="8"/>
  <c r="R8" i="8"/>
  <c r="N8" i="8"/>
  <c r="J8" i="8"/>
  <c r="F8" i="8"/>
  <c r="R7" i="8"/>
  <c r="N7" i="8"/>
  <c r="N10" i="8" s="1"/>
  <c r="J7" i="8"/>
  <c r="J10" i="8" s="1"/>
  <c r="F7" i="8"/>
  <c r="F10" i="8" s="1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5"/>
  <c r="G55" i="4"/>
  <c r="G52" i="4"/>
  <c r="G46" i="4"/>
  <c r="G39" i="4"/>
  <c r="G36" i="4"/>
  <c r="G32" i="4"/>
  <c r="G29" i="4"/>
  <c r="G26" i="4"/>
  <c r="G23" i="4"/>
  <c r="G17" i="4"/>
  <c r="G14" i="4"/>
  <c r="G59" i="4"/>
  <c r="B7" i="4"/>
  <c r="I111" i="2"/>
  <c r="H111" i="2"/>
  <c r="J111" i="2" s="1"/>
  <c r="I110" i="2"/>
  <c r="H110" i="2"/>
  <c r="J110" i="2" s="1"/>
  <c r="I109" i="2"/>
  <c r="H109" i="2"/>
  <c r="J109" i="2" s="1"/>
  <c r="I108" i="2"/>
  <c r="H108" i="2"/>
  <c r="J108" i="2" s="1"/>
  <c r="I107" i="2"/>
  <c r="H107" i="2"/>
  <c r="J107" i="2" s="1"/>
  <c r="I106" i="2"/>
  <c r="H106" i="2"/>
  <c r="J106" i="2" s="1"/>
  <c r="I105" i="2"/>
  <c r="H105" i="2"/>
  <c r="J105" i="2" s="1"/>
  <c r="I104" i="2"/>
  <c r="H104" i="2"/>
  <c r="J104" i="2" s="1"/>
  <c r="I103" i="2"/>
  <c r="H103" i="2"/>
  <c r="J103" i="2" s="1"/>
  <c r="I102" i="2"/>
  <c r="H102" i="2"/>
  <c r="J102" i="2" s="1"/>
  <c r="I101" i="2"/>
  <c r="H101" i="2"/>
  <c r="J101" i="2" s="1"/>
  <c r="I100" i="2"/>
  <c r="H100" i="2"/>
  <c r="J100" i="2" s="1"/>
  <c r="I99" i="2"/>
  <c r="H99" i="2"/>
  <c r="J99" i="2" s="1"/>
  <c r="I98" i="2"/>
  <c r="H98" i="2"/>
  <c r="J98" i="2" s="1"/>
  <c r="I97" i="2"/>
  <c r="H97" i="2"/>
  <c r="J97" i="2" s="1"/>
  <c r="I96" i="2"/>
  <c r="H96" i="2"/>
  <c r="J96" i="2" s="1"/>
  <c r="I95" i="2"/>
  <c r="H95" i="2"/>
  <c r="J95" i="2" s="1"/>
  <c r="I94" i="2"/>
  <c r="H94" i="2"/>
  <c r="J94" i="2" s="1"/>
  <c r="I93" i="2"/>
  <c r="H93" i="2"/>
  <c r="J93" i="2" s="1"/>
  <c r="I92" i="2"/>
  <c r="H92" i="2"/>
  <c r="J92" i="2" s="1"/>
  <c r="I91" i="2"/>
  <c r="H91" i="2"/>
  <c r="J91" i="2" s="1"/>
  <c r="I90" i="2"/>
  <c r="H90" i="2"/>
  <c r="J90" i="2" s="1"/>
  <c r="I89" i="2"/>
  <c r="H89" i="2"/>
  <c r="J89" i="2" s="1"/>
  <c r="I88" i="2"/>
  <c r="H88" i="2"/>
  <c r="J88" i="2" s="1"/>
  <c r="I87" i="2"/>
  <c r="H87" i="2"/>
  <c r="J87" i="2" s="1"/>
  <c r="I86" i="2"/>
  <c r="H86" i="2"/>
  <c r="J86" i="2" s="1"/>
  <c r="I85" i="2"/>
  <c r="H85" i="2"/>
  <c r="J85" i="2" s="1"/>
  <c r="I84" i="2"/>
  <c r="H84" i="2"/>
  <c r="J84" i="2" s="1"/>
  <c r="I83" i="2"/>
  <c r="H83" i="2"/>
  <c r="J83" i="2" s="1"/>
  <c r="I82" i="2"/>
  <c r="H82" i="2"/>
  <c r="J82" i="2" s="1"/>
  <c r="I81" i="2"/>
  <c r="H81" i="2"/>
  <c r="J81" i="2" s="1"/>
  <c r="I80" i="2"/>
  <c r="H80" i="2"/>
  <c r="J80" i="2" s="1"/>
  <c r="I79" i="2"/>
  <c r="H79" i="2"/>
  <c r="J79" i="2" s="1"/>
  <c r="I78" i="2"/>
  <c r="H78" i="2"/>
  <c r="J78" i="2" s="1"/>
  <c r="I77" i="2"/>
  <c r="H77" i="2"/>
  <c r="J77" i="2" s="1"/>
  <c r="I76" i="2"/>
  <c r="H76" i="2"/>
  <c r="J76" i="2" s="1"/>
  <c r="I75" i="2"/>
  <c r="H75" i="2"/>
  <c r="J75" i="2" s="1"/>
  <c r="I74" i="2"/>
  <c r="H74" i="2"/>
  <c r="J74" i="2" s="1"/>
  <c r="I73" i="2"/>
  <c r="H73" i="2"/>
  <c r="J73" i="2" s="1"/>
  <c r="I72" i="2"/>
  <c r="H72" i="2"/>
  <c r="J72" i="2" s="1"/>
  <c r="I71" i="2"/>
  <c r="H71" i="2"/>
  <c r="J71" i="2" s="1"/>
  <c r="I70" i="2"/>
  <c r="H70" i="2"/>
  <c r="J70" i="2" s="1"/>
  <c r="I69" i="2"/>
  <c r="H69" i="2"/>
  <c r="J69" i="2" s="1"/>
  <c r="I68" i="2"/>
  <c r="H68" i="2"/>
  <c r="J68" i="2" s="1"/>
  <c r="I67" i="2"/>
  <c r="H67" i="2"/>
  <c r="J67" i="2" s="1"/>
  <c r="I66" i="2"/>
  <c r="H66" i="2"/>
  <c r="J66" i="2" s="1"/>
  <c r="I65" i="2"/>
  <c r="H65" i="2"/>
  <c r="J65" i="2" s="1"/>
  <c r="I64" i="2"/>
  <c r="H64" i="2"/>
  <c r="J64" i="2" s="1"/>
  <c r="I63" i="2"/>
  <c r="H63" i="2"/>
  <c r="J63" i="2" s="1"/>
  <c r="I62" i="2"/>
  <c r="H62" i="2"/>
  <c r="J62" i="2" s="1"/>
  <c r="I61" i="2"/>
  <c r="H61" i="2"/>
  <c r="J61" i="2" s="1"/>
  <c r="I60" i="2"/>
  <c r="H60" i="2"/>
  <c r="J60" i="2" s="1"/>
  <c r="I59" i="2"/>
  <c r="H59" i="2"/>
  <c r="J59" i="2" s="1"/>
  <c r="I58" i="2"/>
  <c r="H58" i="2"/>
  <c r="J58" i="2" s="1"/>
  <c r="I57" i="2"/>
  <c r="H57" i="2"/>
  <c r="J57" i="2" s="1"/>
  <c r="I56" i="2"/>
  <c r="H56" i="2"/>
  <c r="J56" i="2" s="1"/>
  <c r="I55" i="2"/>
  <c r="H55" i="2"/>
  <c r="J55" i="2" s="1"/>
  <c r="I54" i="2"/>
  <c r="H54" i="2"/>
  <c r="J54" i="2" s="1"/>
  <c r="I53" i="2"/>
  <c r="H53" i="2"/>
  <c r="J53" i="2" s="1"/>
  <c r="I52" i="2"/>
  <c r="H52" i="2"/>
  <c r="J52" i="2" s="1"/>
  <c r="I51" i="2"/>
  <c r="H51" i="2"/>
  <c r="J51" i="2" s="1"/>
  <c r="I50" i="2"/>
  <c r="H50" i="2"/>
  <c r="J50" i="2" s="1"/>
  <c r="I49" i="2"/>
  <c r="H49" i="2"/>
  <c r="J49" i="2" s="1"/>
  <c r="I48" i="2"/>
  <c r="H48" i="2"/>
  <c r="J48" i="2" s="1"/>
  <c r="I47" i="2"/>
  <c r="H47" i="2"/>
  <c r="J47" i="2" s="1"/>
  <c r="I46" i="2"/>
  <c r="H46" i="2"/>
  <c r="J46" i="2" s="1"/>
  <c r="I45" i="2"/>
  <c r="H45" i="2"/>
  <c r="J45" i="2" s="1"/>
  <c r="I44" i="2"/>
  <c r="H44" i="2"/>
  <c r="J44" i="2" s="1"/>
  <c r="I43" i="2"/>
  <c r="H43" i="2"/>
  <c r="J43" i="2" s="1"/>
  <c r="I42" i="2"/>
  <c r="H42" i="2"/>
  <c r="J42" i="2" s="1"/>
  <c r="I41" i="2"/>
  <c r="H41" i="2"/>
  <c r="J41" i="2" s="1"/>
  <c r="I40" i="2"/>
  <c r="H40" i="2"/>
  <c r="J40" i="2" s="1"/>
  <c r="I39" i="2"/>
  <c r="H39" i="2"/>
  <c r="J39" i="2" s="1"/>
  <c r="I38" i="2"/>
  <c r="H38" i="2"/>
  <c r="J38" i="2" s="1"/>
  <c r="I37" i="2"/>
  <c r="H37" i="2"/>
  <c r="J37" i="2" s="1"/>
  <c r="I36" i="2"/>
  <c r="H36" i="2"/>
  <c r="J36" i="2" s="1"/>
  <c r="I35" i="2"/>
  <c r="H35" i="2"/>
  <c r="J35" i="2" s="1"/>
  <c r="I34" i="2"/>
  <c r="H34" i="2"/>
  <c r="J34" i="2" s="1"/>
  <c r="I33" i="2"/>
  <c r="H33" i="2"/>
  <c r="J33" i="2" s="1"/>
  <c r="I32" i="2"/>
  <c r="H32" i="2"/>
  <c r="J32" i="2" s="1"/>
  <c r="I31" i="2"/>
  <c r="H31" i="2"/>
  <c r="J31" i="2" s="1"/>
  <c r="I30" i="2"/>
  <c r="H30" i="2"/>
  <c r="J30" i="2" s="1"/>
  <c r="I29" i="2"/>
  <c r="H29" i="2"/>
  <c r="J29" i="2" s="1"/>
  <c r="I28" i="2"/>
  <c r="H28" i="2"/>
  <c r="J28" i="2" s="1"/>
  <c r="I27" i="2"/>
  <c r="H27" i="2"/>
  <c r="J27" i="2" s="1"/>
  <c r="I26" i="2"/>
  <c r="H26" i="2"/>
  <c r="J26" i="2" s="1"/>
  <c r="I25" i="2"/>
  <c r="H25" i="2"/>
  <c r="J25" i="2" s="1"/>
  <c r="I24" i="2"/>
  <c r="H24" i="2"/>
  <c r="J24" i="2" s="1"/>
  <c r="I23" i="2"/>
  <c r="H23" i="2"/>
  <c r="J23" i="2" s="1"/>
  <c r="I22" i="2"/>
  <c r="H22" i="2"/>
  <c r="J22" i="2" s="1"/>
  <c r="I21" i="2"/>
  <c r="H21" i="2"/>
  <c r="J21" i="2" s="1"/>
  <c r="I20" i="2"/>
  <c r="H20" i="2"/>
  <c r="J20" i="2" s="1"/>
  <c r="I19" i="2"/>
  <c r="H19" i="2"/>
  <c r="J19" i="2" s="1"/>
  <c r="I18" i="2"/>
  <c r="H18" i="2"/>
  <c r="J18" i="2" s="1"/>
  <c r="I17" i="2"/>
  <c r="H17" i="2"/>
  <c r="J17" i="2" s="1"/>
  <c r="I16" i="2"/>
  <c r="H16" i="2"/>
  <c r="J16" i="2" s="1"/>
  <c r="I15" i="2"/>
  <c r="H15" i="2"/>
  <c r="J15" i="2" s="1"/>
  <c r="I14" i="2"/>
  <c r="H14" i="2"/>
  <c r="J14" i="2" s="1"/>
  <c r="I13" i="2"/>
  <c r="H13" i="2"/>
  <c r="J13" i="2" s="1"/>
  <c r="I12" i="2"/>
  <c r="H12" i="2"/>
  <c r="J12" i="2" s="1"/>
  <c r="I11" i="2"/>
  <c r="H11" i="2"/>
  <c r="J11" i="2" s="1"/>
  <c r="I10" i="2"/>
  <c r="H10" i="2"/>
  <c r="J10" i="2" s="1"/>
  <c r="S7" i="8" l="1"/>
  <c r="S8" i="8"/>
  <c r="F12" i="8"/>
  <c r="J12" i="8"/>
  <c r="N12" i="8"/>
  <c r="S9" i="8"/>
  <c r="O21" i="8"/>
  <c r="R10" i="8"/>
  <c r="R15" i="8"/>
  <c r="S12" i="8"/>
  <c r="R20" i="8"/>
  <c r="R21" i="8" l="1"/>
  <c r="S10" i="8"/>
  <c r="N13" i="8"/>
  <c r="J13" i="8"/>
  <c r="F13" i="8"/>
  <c r="F14" i="8" l="1"/>
  <c r="J14" i="8"/>
  <c r="S13" i="8"/>
  <c r="N14" i="8"/>
  <c r="S14" i="8" l="1"/>
  <c r="N15" i="8"/>
  <c r="J15" i="8"/>
  <c r="F15" i="8"/>
  <c r="F17" i="8" l="1"/>
  <c r="J17" i="8"/>
  <c r="S15" i="8"/>
  <c r="N17" i="8"/>
  <c r="S17" i="8" l="1"/>
  <c r="N18" i="8"/>
  <c r="J18" i="8"/>
  <c r="F18" i="8"/>
  <c r="F19" i="8" l="1"/>
  <c r="F20" i="8" s="1"/>
  <c r="F21" i="8" s="1"/>
  <c r="J19" i="8"/>
  <c r="J20" i="8" s="1"/>
  <c r="J21" i="8" s="1"/>
  <c r="S18" i="8"/>
  <c r="N19" i="8"/>
  <c r="S19" i="8" l="1"/>
  <c r="N20" i="8"/>
  <c r="S20" i="8" l="1"/>
  <c r="N21" i="8"/>
  <c r="S21" i="8" s="1"/>
</calcChain>
</file>

<file path=xl/sharedStrings.xml><?xml version="1.0" encoding="utf-8"?>
<sst xmlns="http://schemas.openxmlformats.org/spreadsheetml/2006/main" count="1593" uniqueCount="320">
  <si>
    <t>Hands on: Managing Data</t>
  </si>
  <si>
    <t xml:space="preserve">Worksheets: </t>
  </si>
  <si>
    <t xml:space="preserve">Task 1-Contract Work </t>
  </si>
  <si>
    <r>
      <rPr>
        <sz val="11"/>
        <rFont val="Arial"/>
        <family val="2"/>
        <charset val="1"/>
      </rPr>
      <t xml:space="preserve">Tables </t>
    </r>
    <r>
      <rPr>
        <i/>
        <sz val="11"/>
        <rFont val="Arial"/>
        <family val="2"/>
        <charset val="1"/>
      </rPr>
      <t>(for Tasks 1 and 2)</t>
    </r>
  </si>
  <si>
    <t xml:space="preserve">Task 2-Total Pay Report </t>
  </si>
  <si>
    <t>Task 3-Employee Name Report</t>
  </si>
  <si>
    <t>Task 4-Summarize Sales</t>
  </si>
  <si>
    <t xml:space="preserve">Task 5-Analyze Stock Returns </t>
  </si>
  <si>
    <t>Task 6-Outlining</t>
  </si>
  <si>
    <t xml:space="preserve">Task 7-Data Validation </t>
  </si>
  <si>
    <t>Task 8-Pivot Tables</t>
  </si>
  <si>
    <t>Scoring Guide - For your information only. Details on how your work is scored.</t>
  </si>
  <si>
    <t>Task 1: Complete the Work Records</t>
  </si>
  <si>
    <t>Mogul Cell Phones</t>
  </si>
  <si>
    <t xml:space="preserve">       Contract Work Records</t>
  </si>
  <si>
    <t>Employee Code</t>
  </si>
  <si>
    <t>Specialty Code</t>
  </si>
  <si>
    <t>Client Code</t>
  </si>
  <si>
    <t>Date</t>
  </si>
  <si>
    <t>From</t>
  </si>
  <si>
    <t>To</t>
  </si>
  <si>
    <t>Total Hours</t>
  </si>
  <si>
    <t>Hourly Rate</t>
  </si>
  <si>
    <t>Total Pay</t>
  </si>
  <si>
    <t>Specialty Name</t>
  </si>
  <si>
    <t>W3</t>
  </si>
  <si>
    <t>C40</t>
  </si>
  <si>
    <t>Corporate Sales</t>
  </si>
  <si>
    <t>W4</t>
  </si>
  <si>
    <t>C15</t>
  </si>
  <si>
    <t>Residential Sales</t>
  </si>
  <si>
    <t>C10</t>
  </si>
  <si>
    <t>W8</t>
  </si>
  <si>
    <t>Walk-in Sales</t>
  </si>
  <si>
    <t>C60</t>
  </si>
  <si>
    <t>C80</t>
  </si>
  <si>
    <t>C20</t>
  </si>
  <si>
    <t>C90</t>
  </si>
  <si>
    <t>C50</t>
  </si>
  <si>
    <t>C70</t>
  </si>
  <si>
    <t>C30</t>
  </si>
  <si>
    <t>Tables (for Tasks 1 and 2)</t>
  </si>
  <si>
    <t xml:space="preserve">     Master data ranges</t>
  </si>
  <si>
    <t>Table name: Work_Codes</t>
  </si>
  <si>
    <t>Table name: Clients</t>
  </si>
  <si>
    <t>Client Name</t>
  </si>
  <si>
    <t>Mallard &amp; Hernandez, Inc.</t>
  </si>
  <si>
    <t>Rodriguez Catering</t>
  </si>
  <si>
    <t>Mack's Moving &amp; Storage</t>
  </si>
  <si>
    <t>Wardell, Mingus, and Krenshaw</t>
  </si>
  <si>
    <t>City of Morton, NC</t>
  </si>
  <si>
    <t>School of the Environment</t>
  </si>
  <si>
    <t>Marshall Furniture</t>
  </si>
  <si>
    <t>Tandy's, Inc.</t>
  </si>
  <si>
    <t>Renfrow Printers &amp; Publishers</t>
  </si>
  <si>
    <t>Sanford Booksellers, Ltd.</t>
  </si>
  <si>
    <t>Table name: Employees</t>
  </si>
  <si>
    <t>Name</t>
  </si>
  <si>
    <t>Specialty</t>
  </si>
  <si>
    <t>Charles Morton</t>
  </si>
  <si>
    <t>Allison Ives</t>
  </si>
  <si>
    <t>Jackson Lin</t>
  </si>
  <si>
    <t>Rodrigo Alvarez</t>
  </si>
  <si>
    <t>Arthur Reilly</t>
  </si>
  <si>
    <t>Jordan Hill</t>
  </si>
  <si>
    <t>Susanne Foster</t>
  </si>
  <si>
    <t>Scott Dilworth</t>
  </si>
  <si>
    <t>Kate Emerson</t>
  </si>
  <si>
    <t>Lori Anderson</t>
  </si>
  <si>
    <t>Eric Stokes</t>
  </si>
  <si>
    <t>Sarah Heller</t>
  </si>
  <si>
    <t>Carol Johnson</t>
  </si>
  <si>
    <t>Kevin McCallum</t>
  </si>
  <si>
    <t>James Hartigan</t>
  </si>
  <si>
    <t>Thomas Hoffman</t>
  </si>
  <si>
    <t>Bryan Fowler</t>
  </si>
  <si>
    <t>Elizabeth Roy</t>
  </si>
  <si>
    <t>Nadine Smith</t>
  </si>
  <si>
    <t>John Pane</t>
  </si>
  <si>
    <t>John O'Donnell</t>
  </si>
  <si>
    <t>Far Wen</t>
  </si>
  <si>
    <t>Carolyn Roxby</t>
  </si>
  <si>
    <t>Angela Garcia</t>
  </si>
  <si>
    <t>Tiffany Rifkin</t>
  </si>
  <si>
    <t>Sam Carver</t>
  </si>
  <si>
    <t>Everett Ko</t>
  </si>
  <si>
    <t>Norman Hardison</t>
  </si>
  <si>
    <t>Pamela Buncombe</t>
  </si>
  <si>
    <t>Ardis Foxworth</t>
  </si>
  <si>
    <t>Bob Brickey</t>
  </si>
  <si>
    <t>Casper Johnson</t>
  </si>
  <si>
    <t>Steven Galloway</t>
  </si>
  <si>
    <t>Peter Walton</t>
  </si>
  <si>
    <t>Linda Huff</t>
  </si>
  <si>
    <t>Gary Seamans</t>
  </si>
  <si>
    <t>Jose Naron</t>
  </si>
  <si>
    <t>Anne Neville</t>
  </si>
  <si>
    <t>Terri Rorick</t>
  </si>
  <si>
    <t>Renee Kringle</t>
  </si>
  <si>
    <t>Task 2: Complete the Total Pay Report</t>
  </si>
  <si>
    <t>Employee Name</t>
  </si>
  <si>
    <t>Charles Morton Total</t>
  </si>
  <si>
    <t>Arthur Reilly Total</t>
  </si>
  <si>
    <t>Kate Emerson Total</t>
  </si>
  <si>
    <t>Eric Stokes Total</t>
  </si>
  <si>
    <t>James Hartigan Total</t>
  </si>
  <si>
    <t>Thomas Hoffman Total</t>
  </si>
  <si>
    <t>John Pane Total</t>
  </si>
  <si>
    <t>Pamela Buncombe Total</t>
  </si>
  <si>
    <t>Ardis Foxworth Total</t>
  </si>
  <si>
    <t>Steven Galloway Total</t>
  </si>
  <si>
    <t>Peter Walton Total</t>
  </si>
  <si>
    <t>Jose Naron Total</t>
  </si>
  <si>
    <t>Anne Neville Total</t>
  </si>
  <si>
    <t>sum(G56:G57)</t>
  </si>
  <si>
    <t>Grand Total</t>
  </si>
  <si>
    <t>Task 3: Complete the Employee Name Report</t>
  </si>
  <si>
    <t>First Name</t>
  </si>
  <si>
    <t>Last Name</t>
  </si>
  <si>
    <t>Charles</t>
  </si>
  <si>
    <t>Morton</t>
  </si>
  <si>
    <t>Allison</t>
  </si>
  <si>
    <t>Ives</t>
  </si>
  <si>
    <t>Rodrigo</t>
  </si>
  <si>
    <t>Alvarez</t>
  </si>
  <si>
    <t>Arthur</t>
  </si>
  <si>
    <t>Reilly</t>
  </si>
  <si>
    <t>Jordan</t>
  </si>
  <si>
    <t>Hill</t>
  </si>
  <si>
    <t>Susanne</t>
  </si>
  <si>
    <t>Foster</t>
  </si>
  <si>
    <t>Scott</t>
  </si>
  <si>
    <t>Dilworth</t>
  </si>
  <si>
    <t>Kate</t>
  </si>
  <si>
    <t>Emerson</t>
  </si>
  <si>
    <t>Lori</t>
  </si>
  <si>
    <t>Anderson</t>
  </si>
  <si>
    <t>Eric</t>
  </si>
  <si>
    <t>Stokes</t>
  </si>
  <si>
    <t>Sarah</t>
  </si>
  <si>
    <t>Heller</t>
  </si>
  <si>
    <t>Carol</t>
  </si>
  <si>
    <t>Johnson</t>
  </si>
  <si>
    <t>Kevin</t>
  </si>
  <si>
    <t>McCallum</t>
  </si>
  <si>
    <t>James</t>
  </si>
  <si>
    <t>Hartigan</t>
  </si>
  <si>
    <t>Thomas</t>
  </si>
  <si>
    <t>Hoffman</t>
  </si>
  <si>
    <t>Bryan</t>
  </si>
  <si>
    <t>Fowler</t>
  </si>
  <si>
    <t>Elizabeth</t>
  </si>
  <si>
    <t>Roy</t>
  </si>
  <si>
    <t>Nadine</t>
  </si>
  <si>
    <t>Smith</t>
  </si>
  <si>
    <t>John</t>
  </si>
  <si>
    <t>Pane</t>
  </si>
  <si>
    <t>O'Donnell</t>
  </si>
  <si>
    <t>Far</t>
  </si>
  <si>
    <t>Wen</t>
  </si>
  <si>
    <t>Carolyn</t>
  </si>
  <si>
    <t>Roxby</t>
  </si>
  <si>
    <t>Angela</t>
  </si>
  <si>
    <t>Garcia</t>
  </si>
  <si>
    <t>Tiffany</t>
  </si>
  <si>
    <t>Rifkin</t>
  </si>
  <si>
    <t>Sam</t>
  </si>
  <si>
    <t>Carver</t>
  </si>
  <si>
    <t>Everett</t>
  </si>
  <si>
    <t>Ko</t>
  </si>
  <si>
    <t>Norman</t>
  </si>
  <si>
    <t>Hardison</t>
  </si>
  <si>
    <t>Pamela</t>
  </si>
  <si>
    <t>Buncombe</t>
  </si>
  <si>
    <t>Ardis</t>
  </si>
  <si>
    <t>Foxworth</t>
  </si>
  <si>
    <t>Bob</t>
  </si>
  <si>
    <t>Brickey</t>
  </si>
  <si>
    <t>Casper</t>
  </si>
  <si>
    <t>Steven</t>
  </si>
  <si>
    <t>Galloway</t>
  </si>
  <si>
    <t>Peter</t>
  </si>
  <si>
    <t>Walton</t>
  </si>
  <si>
    <t>Linda</t>
  </si>
  <si>
    <t>Huff</t>
  </si>
  <si>
    <t>Gary</t>
  </si>
  <si>
    <t>Seamans</t>
  </si>
  <si>
    <t>Jose</t>
  </si>
  <si>
    <t>Naron</t>
  </si>
  <si>
    <t>Anne</t>
  </si>
  <si>
    <t>Neville</t>
  </si>
  <si>
    <t>Terri</t>
  </si>
  <si>
    <t>Rorick</t>
  </si>
  <si>
    <t>Renee</t>
  </si>
  <si>
    <t>Kringle</t>
  </si>
  <si>
    <t>Task 4: Summarize Sales</t>
  </si>
  <si>
    <t>Client Region</t>
  </si>
  <si>
    <t>Billable Hours</t>
  </si>
  <si>
    <t>Total Sales</t>
  </si>
  <si>
    <t>Trend Advisors</t>
  </si>
  <si>
    <t>North</t>
  </si>
  <si>
    <t>Lester Redevelopment Inc.</t>
  </si>
  <si>
    <t>South</t>
  </si>
  <si>
    <t>Robinett's Strip Malls</t>
  </si>
  <si>
    <t>Silicon Ventures</t>
  </si>
  <si>
    <t>West</t>
  </si>
  <si>
    <t>East</t>
  </si>
  <si>
    <t xml:space="preserve">Mulberry Electronics </t>
  </si>
  <si>
    <t>Second Best Buys</t>
  </si>
  <si>
    <t>Oglethorpe Riding Mowers</t>
  </si>
  <si>
    <t xml:space="preserve">All Things Surf </t>
  </si>
  <si>
    <t>Task 5: Analyze Stock Returns (Bonus)</t>
  </si>
  <si>
    <t xml:space="preserve">    Find out in increments of 10 how many periods the stock gave returns</t>
  </si>
  <si>
    <t xml:space="preserve">    between the lowest (-26.6) and highest (19.2) values using Excel's</t>
  </si>
  <si>
    <t xml:space="preserve">    FREQUENCY array function.</t>
  </si>
  <si>
    <t>Returns</t>
  </si>
  <si>
    <t>Bin Values</t>
  </si>
  <si>
    <t>FREQUENCY</t>
  </si>
  <si>
    <t>Task 6: Basic Outlining</t>
  </si>
  <si>
    <t>State</t>
  </si>
  <si>
    <t>January</t>
  </si>
  <si>
    <t>February</t>
  </si>
  <si>
    <t>March</t>
  </si>
  <si>
    <t>Quarter 1</t>
  </si>
  <si>
    <t>April</t>
  </si>
  <si>
    <t>May</t>
  </si>
  <si>
    <t>June</t>
  </si>
  <si>
    <t>Quarter 2</t>
  </si>
  <si>
    <t>July</t>
  </si>
  <si>
    <t>August</t>
  </si>
  <si>
    <t>September</t>
  </si>
  <si>
    <t>Quarter 3</t>
  </si>
  <si>
    <t>October</t>
  </si>
  <si>
    <t>November</t>
  </si>
  <si>
    <t>December</t>
  </si>
  <si>
    <t>Quarter 4</t>
  </si>
  <si>
    <t>Oregon</t>
  </si>
  <si>
    <t>Washington</t>
  </si>
  <si>
    <t>California</t>
  </si>
  <si>
    <t>West Total</t>
  </si>
  <si>
    <t>Ohio</t>
  </si>
  <si>
    <t>Iowa</t>
  </si>
  <si>
    <t>Illinois</t>
  </si>
  <si>
    <t>Mid Total</t>
  </si>
  <si>
    <t>North Carolina</t>
  </si>
  <si>
    <t>Georgia</t>
  </si>
  <si>
    <t>Virginia</t>
  </si>
  <si>
    <t>South Total</t>
  </si>
  <si>
    <t>Task 7: A Data Validation Application</t>
  </si>
  <si>
    <t>Select a criterion:</t>
  </si>
  <si>
    <t>Work Area</t>
  </si>
  <si>
    <t xml:space="preserve">Task 8: Pivot Table </t>
  </si>
  <si>
    <t>Database</t>
  </si>
  <si>
    <t>Season</t>
  </si>
  <si>
    <t>Year</t>
  </si>
  <si>
    <t>Type</t>
  </si>
  <si>
    <t>Sales $</t>
  </si>
  <si>
    <t>Sum of Sales $</t>
  </si>
  <si>
    <t>Fall</t>
  </si>
  <si>
    <t>Amber Ale</t>
  </si>
  <si>
    <t>Hefeweizen</t>
  </si>
  <si>
    <t>Pale Ale</t>
  </si>
  <si>
    <t>Pilsner</t>
  </si>
  <si>
    <t>Porter</t>
  </si>
  <si>
    <t>Stout</t>
  </si>
  <si>
    <t>Average of Sales $</t>
  </si>
  <si>
    <t>Spring</t>
  </si>
  <si>
    <t>Values</t>
  </si>
  <si>
    <t>Average of Sales</t>
  </si>
  <si>
    <t>Summer</t>
  </si>
  <si>
    <t>Winter</t>
  </si>
  <si>
    <t>Managing Data with Excel Scoring Guide</t>
  </si>
  <si>
    <t>Scoring guide - for your information only. Details on how your work is scored.</t>
  </si>
  <si>
    <t>Task/Technique</t>
  </si>
  <si>
    <t>Possible Points</t>
  </si>
  <si>
    <t>Points Deducted</t>
  </si>
  <si>
    <t>Grader Notes</t>
  </si>
  <si>
    <t xml:space="preserve">    - Total Hours formulas and results correct.</t>
  </si>
  <si>
    <t xml:space="preserve">    - Hourly Rate formulas (lookup) and results correct.</t>
  </si>
  <si>
    <t xml:space="preserve">    - Total Pay formulas and results correct.</t>
  </si>
  <si>
    <t>Note: Original record order changed by subsequent</t>
  </si>
  <si>
    <t>tasks. This is to be expected.</t>
  </si>
  <si>
    <t xml:space="preserve">    - All six report columns contain appropriate data.</t>
  </si>
  <si>
    <t xml:space="preserve">    - Total pay is summed for each employee.</t>
  </si>
  <si>
    <t xml:space="preserve">    - First names in first-name column of the report.</t>
  </si>
  <si>
    <t xml:space="preserve">    - Last names in last-name column of the report.</t>
  </si>
  <si>
    <t>Task 4: Summarize Sales &amp; Hours</t>
  </si>
  <si>
    <t>When displayed in outline level 3 (or 4)</t>
  </si>
  <si>
    <t xml:space="preserve">    - Sales are totaled by client region (N, S, E, W).</t>
  </si>
  <si>
    <t xml:space="preserve">    - Hours are totaled by client name.</t>
  </si>
  <si>
    <t>Task 5: Analyze Stock Returns</t>
  </si>
  <si>
    <t xml:space="preserve">    - Bin values of -30 to 20 as described.</t>
  </si>
  <si>
    <t xml:space="preserve">    - # of monthly returns values are an array.</t>
  </si>
  <si>
    <t xml:space="preserve">    - # of monthly returns are correct.</t>
  </si>
  <si>
    <t>Task 6: Outlining</t>
  </si>
  <si>
    <t xml:space="preserve">   - Data in Excel outline form.</t>
  </si>
  <si>
    <t xml:space="preserve">   - Outline shows the most summarized view.</t>
  </si>
  <si>
    <t>Task 7: Data Validation and Conditional Formats</t>
  </si>
  <si>
    <t xml:space="preserve">    - "Select a criterion" drop-down shows number options.</t>
  </si>
  <si>
    <t xml:space="preserve">    - Drop-down controls display of green shading</t>
  </si>
  <si>
    <t xml:space="preserve">      in cells in the data range.</t>
  </si>
  <si>
    <t>Task 8: Create Four Pivot Table Views</t>
  </si>
  <si>
    <t xml:space="preserve">    - View 1: Row = State , Column = Year , Data =  </t>
  </si>
  <si>
    <t xml:space="preserve">      Sum of Sales $.</t>
  </si>
  <si>
    <t xml:space="preserve">      Grand Totals for Columns only (not rows); Year 2006.</t>
  </si>
  <si>
    <t xml:space="preserve">    - View 2: Row = Type, Column = state, Page = Year and</t>
  </si>
  <si>
    <t xml:space="preserve">      Season, Data = Average of Sales $.</t>
  </si>
  <si>
    <t xml:space="preserve">      Grand Totals for both Rows and Columns.</t>
  </si>
  <si>
    <t xml:space="preserve">    - View 3: Row = Year as outer and Season as inner,</t>
  </si>
  <si>
    <t xml:space="preserve">      Column = State w/only CA and WA data shown.</t>
  </si>
  <si>
    <t xml:space="preserve">      Data = Sum and Average of Sales $.</t>
  </si>
  <si>
    <t xml:space="preserve">      Only 2005 data, no Year subtotals, No Grand Totals.</t>
  </si>
  <si>
    <t xml:space="preserve">    - View 4: No Row field, Column = Type, Data = Sum of</t>
  </si>
  <si>
    <t xml:space="preserve">      Sales $, Page field = Season.</t>
  </si>
  <si>
    <r>
      <rPr>
        <sz val="10"/>
        <rFont val="Arial"/>
        <family val="2"/>
        <charset val="1"/>
      </rPr>
      <t xml:space="preserve">       Pilsner and Stout shown for Winter </t>
    </r>
    <r>
      <rPr>
        <b/>
        <sz val="10"/>
        <rFont val="Arial"/>
        <family val="2"/>
        <charset val="1"/>
      </rPr>
      <t>OR</t>
    </r>
  </si>
  <si>
    <r>
      <rPr>
        <sz val="10"/>
        <rFont val="Arial"/>
        <family val="2"/>
        <charset val="1"/>
      </rPr>
      <t xml:space="preserve">            Pilsner, Porter, </t>
    </r>
    <r>
      <rPr>
        <b/>
        <sz val="10"/>
        <rFont val="Arial"/>
        <family val="2"/>
        <charset val="1"/>
      </rPr>
      <t>AND Stout</t>
    </r>
    <r>
      <rPr>
        <sz val="10"/>
        <rFont val="Arial"/>
        <family val="2"/>
        <charset val="1"/>
      </rPr>
      <t xml:space="preserve"> shown for Winter.</t>
    </r>
  </si>
  <si>
    <r>
      <rPr>
        <b/>
        <sz val="12"/>
        <color rgb="FF002060"/>
        <rFont val="Arial"/>
        <family val="2"/>
        <charset val="1"/>
      </rPr>
      <t>Possible</t>
    </r>
    <r>
      <rPr>
        <b/>
        <sz val="12"/>
        <rFont val="Arial"/>
        <family val="2"/>
        <charset val="1"/>
      </rPr>
      <t>/</t>
    </r>
    <r>
      <rPr>
        <b/>
        <sz val="12"/>
        <color rgb="FFFF0000"/>
        <rFont val="Arial"/>
        <family val="2"/>
        <charset val="1"/>
      </rPr>
      <t>Deducted</t>
    </r>
    <r>
      <rPr>
        <b/>
        <sz val="12"/>
        <rFont val="Arial"/>
        <family val="2"/>
        <charset val="1"/>
      </rPr>
      <t xml:space="preserve"> Points:</t>
    </r>
  </si>
  <si>
    <t>Late points (if any)</t>
  </si>
  <si>
    <t>1 point per late day is deducted from the total score.</t>
  </si>
  <si>
    <t>Points Earned: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</si>
</sst>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mmmm\ d&quot;, &quot;yyyy"/>
    <numFmt numFmtId="165" formatCode="[$-409]h:mm\ AM/PM;@"/>
    <numFmt numFmtId="166" formatCode="0.0"/>
    <numFmt numFmtId="167" formatCode="\$#,##0"/>
    <numFmt numFmtId="168" formatCode="[$$-409]#,##0.00;[Red]\-[$$-409]#,##0.00"/>
    <numFmt numFmtId="169" formatCode="\$#,##0.00"/>
    <numFmt numFmtId="170" formatCode="h:mm"/>
    <numFmt numFmtId="171" formatCode="\$#,##0_);[Red]&quot;($&quot;#,##0\)"/>
    <numFmt numFmtId="172" formatCode="d\-mmm"/>
    <numFmt numFmtId="173" formatCode="mm/dd/yy;@"/>
    <numFmt numFmtId="174" formatCode="#,##0_);\(#,##0\)"/>
    <numFmt numFmtId="175" formatCode="_(\$* #,##0.00_);_(\$* \(#,##0.00\);_(\$* \-??_);_(@_)"/>
    <numFmt numFmtId="176" formatCode="\$#,##0.00_);&quot;($&quot;#,##0.00\)"/>
    <numFmt numFmtId="177" formatCode="_-[$$-409]* #,##0.00_ ;_-[$$-409]* \-#,##0.00\ ;_-[$$-409]* &quot;-&quot;??_ ;_-@_ "/>
  </numFmts>
  <fonts count="44">
    <font>
      <sz val="11"/>
      <name val="Arial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b/>
      <sz val="11"/>
      <name val="Arial"/>
      <charset val="1"/>
    </font>
    <font>
      <sz val="12"/>
      <name val="Arial"/>
      <family val="2"/>
      <charset val="1"/>
    </font>
    <font>
      <b/>
      <sz val="14"/>
      <color rgb="FF333399"/>
      <name val="Arial"/>
      <family val="2"/>
      <charset val="1"/>
    </font>
    <font>
      <b/>
      <sz val="12"/>
      <color rgb="FF333399"/>
      <name val="Arial"/>
      <family val="2"/>
      <charset val="1"/>
    </font>
    <font>
      <i/>
      <sz val="11"/>
      <name val="Arial"/>
      <family val="2"/>
      <charset val="1"/>
    </font>
    <font>
      <i/>
      <sz val="12"/>
      <name val="Book Antiqua"/>
      <family val="1"/>
      <charset val="1"/>
    </font>
    <font>
      <sz val="8"/>
      <name val="Arial"/>
      <family val="2"/>
      <charset val="1"/>
    </font>
    <font>
      <sz val="11"/>
      <name val="Trebuchet MS"/>
      <family val="2"/>
      <charset val="1"/>
    </font>
    <font>
      <b/>
      <sz val="11"/>
      <color rgb="FF000080"/>
      <name val="Arial"/>
      <family val="2"/>
      <charset val="1"/>
    </font>
    <font>
      <sz val="16"/>
      <color rgb="FFFF0000"/>
      <name val="Trebuchet MS"/>
      <family val="2"/>
      <charset val="1"/>
    </font>
    <font>
      <b/>
      <sz val="12"/>
      <color rgb="FF000000"/>
      <name val="Trebuchet MS"/>
      <family val="2"/>
      <charset val="1"/>
    </font>
    <font>
      <b/>
      <sz val="11"/>
      <name val="Trebuchet MS"/>
      <family val="2"/>
      <charset val="1"/>
    </font>
    <font>
      <b/>
      <sz val="16"/>
      <color rgb="FF666699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FFFFFF"/>
      <name val="Arial"/>
      <family val="2"/>
      <charset val="1"/>
    </font>
    <font>
      <sz val="10"/>
      <color rgb="FF92D050"/>
      <name val="Arial"/>
      <family val="2"/>
      <charset val="1"/>
    </font>
    <font>
      <i/>
      <sz val="12"/>
      <color rgb="FF000000"/>
      <name val="Arial"/>
      <family val="2"/>
      <charset val="1"/>
    </font>
    <font>
      <b/>
      <sz val="18"/>
      <color rgb="FF333399"/>
      <name val="Arial"/>
      <family val="2"/>
      <charset val="1"/>
    </font>
    <font>
      <sz val="11"/>
      <name val="Arial"/>
      <family val="2"/>
    </font>
    <font>
      <b/>
      <sz val="11"/>
      <name val="Arial"/>
      <family val="2"/>
    </font>
    <font>
      <sz val="10"/>
      <color rgb="FF92D050"/>
      <name val="Arial"/>
      <family val="2"/>
    </font>
    <font>
      <b/>
      <sz val="10"/>
      <name val="Arial"/>
      <family val="2"/>
      <charset val="1"/>
    </font>
    <font>
      <b/>
      <sz val="18"/>
      <color rgb="FF333399"/>
      <name val="Trebuchet MS"/>
      <family val="2"/>
      <charset val="1"/>
    </font>
    <font>
      <b/>
      <sz val="20"/>
      <color rgb="FFFF0000"/>
      <name val="Trebuchet MS"/>
      <family val="2"/>
      <charset val="1"/>
    </font>
    <font>
      <b/>
      <sz val="11"/>
      <color rgb="FFFFFFFF"/>
      <name val="Trebuchet MS"/>
      <family val="2"/>
      <charset val="1"/>
    </font>
    <font>
      <sz val="11"/>
      <color rgb="FFFF0000"/>
      <name val="Arial"/>
      <family val="2"/>
      <charset val="1"/>
    </font>
    <font>
      <b/>
      <sz val="20"/>
      <color rgb="FF000080"/>
      <name val="Trebuchet MS"/>
      <family val="2"/>
      <charset val="1"/>
    </font>
    <font>
      <sz val="10"/>
      <name val="Trebuchet MS"/>
      <family val="2"/>
      <charset val="1"/>
    </font>
    <font>
      <b/>
      <sz val="12"/>
      <color rgb="FF666699"/>
      <name val="Arial"/>
      <family val="2"/>
      <charset val="1"/>
    </font>
    <font>
      <sz val="10"/>
      <name val="Arial"/>
      <family val="2"/>
    </font>
    <font>
      <b/>
      <sz val="11"/>
      <name val="Arial"/>
      <family val="2"/>
      <charset val="1"/>
    </font>
    <font>
      <b/>
      <sz val="11"/>
      <color rgb="FF808080"/>
      <name val="Arial"/>
      <family val="2"/>
      <charset val="1"/>
    </font>
    <font>
      <b/>
      <u/>
      <sz val="10"/>
      <color rgb="FF00206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0"/>
      <color rgb="FF008000"/>
      <name val="Arial"/>
      <family val="2"/>
      <charset val="1"/>
    </font>
    <font>
      <u/>
      <sz val="10"/>
      <name val="Arial"/>
      <family val="2"/>
      <charset val="1"/>
    </font>
    <font>
      <b/>
      <sz val="12"/>
      <color rgb="FF002060"/>
      <name val="Arial"/>
      <family val="2"/>
      <charset val="1"/>
    </font>
    <font>
      <b/>
      <sz val="12"/>
      <name val="Arial"/>
      <family val="2"/>
      <charset val="1"/>
    </font>
    <font>
      <b/>
      <sz val="12"/>
      <color rgb="FFFF0000"/>
      <name val="Arial"/>
      <family val="2"/>
      <charset val="1"/>
    </font>
    <font>
      <i/>
      <sz val="10"/>
      <name val="Arial"/>
      <family val="2"/>
      <charset val="1"/>
    </font>
    <font>
      <sz val="11"/>
      <name val="Arial"/>
      <charset val="1"/>
    </font>
  </fonts>
  <fills count="7">
    <fill>
      <patternFill patternType="none"/>
    </fill>
    <fill>
      <patternFill patternType="gray125"/>
    </fill>
    <fill>
      <patternFill patternType="solid">
        <fgColor rgb="FF7F7F7F"/>
        <bgColor rgb="FF808080"/>
      </patternFill>
    </fill>
    <fill>
      <patternFill patternType="solid">
        <fgColor rgb="FF002060"/>
        <bgColor rgb="FF000080"/>
      </patternFill>
    </fill>
    <fill>
      <patternFill patternType="solid">
        <fgColor rgb="FFFFFFFF"/>
        <bgColor rgb="FFFFFFCC"/>
      </patternFill>
    </fill>
    <fill>
      <patternFill patternType="solid">
        <fgColor rgb="FFC6D9F1"/>
        <bgColor rgb="FF99CCFF"/>
      </patternFill>
    </fill>
    <fill>
      <patternFill patternType="solid">
        <fgColor rgb="FFC3D69B"/>
        <bgColor rgb="FFC6D9F1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3">
    <xf numFmtId="0" fontId="0" fillId="0" borderId="0"/>
    <xf numFmtId="175" fontId="43" fillId="0" borderId="0" applyBorder="0" applyProtection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43" fillId="0" borderId="0" applyBorder="0" applyProtection="0"/>
    <xf numFmtId="0" fontId="43" fillId="0" borderId="0" applyBorder="0" applyProtection="0"/>
    <xf numFmtId="0" fontId="43" fillId="0" borderId="0" applyBorder="0" applyProtection="0"/>
    <xf numFmtId="0" fontId="43" fillId="0" borderId="0" applyBorder="0" applyProtection="0">
      <alignment horizontal="left"/>
    </xf>
    <xf numFmtId="0" fontId="3" fillId="0" borderId="0" applyBorder="0" applyProtection="0">
      <alignment horizontal="left"/>
    </xf>
    <xf numFmtId="0" fontId="3" fillId="0" borderId="0" applyBorder="0" applyProtection="0"/>
  </cellStyleXfs>
  <cellXfs count="173">
    <xf numFmtId="0" fontId="0" fillId="0" borderId="0" xfId="0"/>
    <xf numFmtId="164" fontId="10" fillId="0" borderId="13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/>
    </xf>
    <xf numFmtId="0" fontId="20" fillId="0" borderId="12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Border="1" applyAlignment="1"/>
    <xf numFmtId="0" fontId="5" fillId="0" borderId="0" xfId="3" applyFont="1" applyBorder="1" applyAlignment="1"/>
    <xf numFmtId="0" fontId="5" fillId="0" borderId="0" xfId="3" applyFont="1"/>
    <xf numFmtId="0" fontId="5" fillId="0" borderId="0" xfId="0" applyFont="1"/>
    <xf numFmtId="0" fontId="6" fillId="0" borderId="0" xfId="0" applyFont="1"/>
    <xf numFmtId="0" fontId="2" fillId="0" borderId="0" xfId="0" applyFont="1"/>
    <xf numFmtId="0" fontId="8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0" fontId="11" fillId="0" borderId="0" xfId="5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/>
    <xf numFmtId="165" fontId="1" fillId="0" borderId="0" xfId="0" applyNumberFormat="1" applyFont="1"/>
    <xf numFmtId="166" fontId="18" fillId="0" borderId="0" xfId="0" applyNumberFormat="1" applyFont="1"/>
    <xf numFmtId="167" fontId="18" fillId="0" borderId="0" xfId="0" applyNumberFormat="1" applyFont="1"/>
    <xf numFmtId="168" fontId="18" fillId="0" borderId="0" xfId="0" applyNumberFormat="1" applyFont="1"/>
    <xf numFmtId="168" fontId="10" fillId="0" borderId="0" xfId="0" applyNumberFormat="1" applyFont="1"/>
    <xf numFmtId="169" fontId="18" fillId="0" borderId="0" xfId="0" applyNumberFormat="1" applyFont="1"/>
    <xf numFmtId="0" fontId="2" fillId="0" borderId="0" xfId="0" applyFont="1" applyAlignment="1">
      <alignment horizontal="center"/>
    </xf>
    <xf numFmtId="170" fontId="2" fillId="0" borderId="0" xfId="0" applyNumberFormat="1" applyFont="1"/>
    <xf numFmtId="0" fontId="19" fillId="0" borderId="0" xfId="0" applyFont="1"/>
    <xf numFmtId="0" fontId="17" fillId="2" borderId="1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/>
    <xf numFmtId="171" fontId="2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Border="1"/>
    <xf numFmtId="171" fontId="2" fillId="0" borderId="8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/>
    <xf numFmtId="171" fontId="2" fillId="0" borderId="11" xfId="0" applyNumberFormat="1" applyFont="1" applyBorder="1" applyAlignment="1">
      <alignment horizontal="center"/>
    </xf>
    <xf numFmtId="0" fontId="2" fillId="0" borderId="6" xfId="0" applyFont="1" applyBorder="1"/>
    <xf numFmtId="0" fontId="2" fillId="0" borderId="8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17" fillId="2" borderId="6" xfId="0" applyFont="1" applyFill="1" applyBorder="1" applyAlignment="1">
      <alignment horizontal="center"/>
    </xf>
    <xf numFmtId="1" fontId="2" fillId="0" borderId="4" xfId="0" applyNumberFormat="1" applyFont="1" applyBorder="1" applyAlignment="1">
      <alignment horizontal="center"/>
    </xf>
    <xf numFmtId="1" fontId="2" fillId="0" borderId="7" xfId="0" applyNumberFormat="1" applyFont="1" applyBorder="1" applyAlignment="1">
      <alignment horizontal="center"/>
    </xf>
    <xf numFmtId="1" fontId="2" fillId="0" borderId="9" xfId="0" applyNumberFormat="1" applyFont="1" applyBorder="1" applyAlignment="1">
      <alignment horizontal="center"/>
    </xf>
    <xf numFmtId="164" fontId="2" fillId="0" borderId="9" xfId="0" applyNumberFormat="1" applyFont="1" applyBorder="1"/>
    <xf numFmtId="0" fontId="17" fillId="2" borderId="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2" fillId="0" borderId="0" xfId="0" applyFont="1" applyAlignment="1">
      <alignment wrapText="1"/>
    </xf>
    <xf numFmtId="0" fontId="22" fillId="0" borderId="0" xfId="0" applyFont="1"/>
    <xf numFmtId="169" fontId="23" fillId="0" borderId="0" xfId="0" applyNumberFormat="1" applyFont="1"/>
    <xf numFmtId="0" fontId="24" fillId="0" borderId="0" xfId="0" applyFont="1"/>
    <xf numFmtId="0" fontId="1" fillId="0" borderId="0" xfId="0" applyFont="1"/>
    <xf numFmtId="168" fontId="1" fillId="0" borderId="0" xfId="0" applyNumberFormat="1" applyFont="1"/>
    <xf numFmtId="0" fontId="26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left" vertical="center"/>
    </xf>
    <xf numFmtId="164" fontId="10" fillId="0" borderId="0" xfId="0" applyNumberFormat="1" applyFont="1" applyBorder="1" applyAlignment="1">
      <alignment horizontal="center"/>
    </xf>
    <xf numFmtId="164" fontId="10" fillId="0" borderId="0" xfId="0" applyNumberFormat="1" applyFont="1" applyBorder="1" applyAlignment="1">
      <alignment horizontal="left"/>
    </xf>
    <xf numFmtId="164" fontId="10" fillId="0" borderId="9" xfId="0" applyNumberFormat="1" applyFont="1" applyBorder="1"/>
    <xf numFmtId="0" fontId="10" fillId="0" borderId="11" xfId="0" applyFont="1" applyBorder="1"/>
    <xf numFmtId="0" fontId="10" fillId="0" borderId="0" xfId="0" applyFont="1" applyBorder="1"/>
    <xf numFmtId="0" fontId="27" fillId="2" borderId="1" xfId="0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21" fillId="0" borderId="4" xfId="0" applyFont="1" applyBorder="1"/>
    <xf numFmtId="0" fontId="21" fillId="0" borderId="6" xfId="0" applyFont="1" applyBorder="1"/>
    <xf numFmtId="0" fontId="21" fillId="0" borderId="7" xfId="0" applyFont="1" applyBorder="1"/>
    <xf numFmtId="0" fontId="21" fillId="0" borderId="8" xfId="0" applyFont="1" applyBorder="1"/>
    <xf numFmtId="1" fontId="10" fillId="0" borderId="0" xfId="0" applyNumberFormat="1" applyFont="1" applyAlignment="1">
      <alignment horizontal="left"/>
    </xf>
    <xf numFmtId="0" fontId="21" fillId="0" borderId="0" xfId="0" applyFont="1" applyBorder="1"/>
    <xf numFmtId="1" fontId="10" fillId="0" borderId="0" xfId="0" applyNumberFormat="1" applyFont="1" applyAlignment="1">
      <alignment horizontal="center"/>
    </xf>
    <xf numFmtId="172" fontId="10" fillId="0" borderId="0" xfId="0" applyNumberFormat="1" applyFont="1"/>
    <xf numFmtId="167" fontId="10" fillId="0" borderId="0" xfId="0" applyNumberFormat="1" applyFont="1"/>
    <xf numFmtId="0" fontId="0" fillId="0" borderId="10" xfId="0" applyFont="1" applyBorder="1"/>
    <xf numFmtId="0" fontId="10" fillId="0" borderId="0" xfId="3" applyFont="1"/>
    <xf numFmtId="0" fontId="1" fillId="0" borderId="0" xfId="3" applyFont="1"/>
    <xf numFmtId="0" fontId="28" fillId="0" borderId="0" xfId="3" applyFont="1"/>
    <xf numFmtId="0" fontId="10" fillId="0" borderId="4" xfId="3" applyFont="1" applyBorder="1"/>
    <xf numFmtId="0" fontId="29" fillId="0" borderId="5" xfId="3" applyFont="1" applyBorder="1" applyAlignment="1">
      <alignment horizontal="left" vertical="center"/>
    </xf>
    <xf numFmtId="0" fontId="29" fillId="0" borderId="5" xfId="3" applyFont="1" applyBorder="1" applyAlignment="1">
      <alignment vertical="center"/>
    </xf>
    <xf numFmtId="0" fontId="29" fillId="0" borderId="6" xfId="3" applyFont="1" applyBorder="1" applyAlignment="1">
      <alignment vertical="center"/>
    </xf>
    <xf numFmtId="164" fontId="10" fillId="0" borderId="9" xfId="3" applyNumberFormat="1" applyFont="1" applyBorder="1"/>
    <xf numFmtId="0" fontId="10" fillId="0" borderId="10" xfId="3" applyFont="1" applyBorder="1"/>
    <xf numFmtId="0" fontId="10" fillId="0" borderId="11" xfId="3" applyFont="1" applyBorder="1"/>
    <xf numFmtId="0" fontId="17" fillId="3" borderId="10" xfId="3" applyFont="1" applyFill="1" applyBorder="1" applyAlignment="1">
      <alignment horizontal="center" wrapText="1"/>
    </xf>
    <xf numFmtId="0" fontId="17" fillId="3" borderId="10" xfId="3" applyFont="1" applyFill="1" applyBorder="1" applyAlignment="1">
      <alignment horizontal="center"/>
    </xf>
    <xf numFmtId="0" fontId="1" fillId="0" borderId="0" xfId="3" applyFont="1" applyAlignment="1">
      <alignment horizontal="center"/>
    </xf>
    <xf numFmtId="173" fontId="1" fillId="0" borderId="0" xfId="3" applyNumberFormat="1" applyFont="1"/>
    <xf numFmtId="174" fontId="1" fillId="0" borderId="0" xfId="3" applyNumberFormat="1" applyFont="1"/>
    <xf numFmtId="176" fontId="1" fillId="0" borderId="0" xfId="1" applyNumberFormat="1" applyFont="1" applyBorder="1" applyAlignment="1" applyProtection="1"/>
    <xf numFmtId="1" fontId="1" fillId="0" borderId="0" xfId="3" applyNumberFormat="1" applyFont="1" applyAlignment="1">
      <alignment horizontal="left"/>
    </xf>
    <xf numFmtId="1" fontId="10" fillId="0" borderId="0" xfId="3" applyNumberFormat="1" applyFont="1" applyAlignment="1">
      <alignment horizontal="left"/>
    </xf>
    <xf numFmtId="1" fontId="1" fillId="0" borderId="0" xfId="3" applyNumberFormat="1" applyFont="1" applyAlignment="1">
      <alignment horizontal="center"/>
    </xf>
    <xf numFmtId="172" fontId="10" fillId="0" borderId="0" xfId="3" applyNumberFormat="1" applyFont="1"/>
    <xf numFmtId="167" fontId="10" fillId="0" borderId="0" xfId="3" applyNumberFormat="1" applyFont="1"/>
    <xf numFmtId="0" fontId="30" fillId="0" borderId="0" xfId="3" applyFont="1"/>
    <xf numFmtId="0" fontId="1" fillId="0" borderId="0" xfId="6"/>
    <xf numFmtId="0" fontId="31" fillId="0" borderId="0" xfId="6" applyFont="1"/>
    <xf numFmtId="0" fontId="1" fillId="0" borderId="0" xfId="6" applyFont="1"/>
    <xf numFmtId="0" fontId="24" fillId="0" borderId="0" xfId="6" applyFont="1"/>
    <xf numFmtId="0" fontId="32" fillId="0" borderId="0" xfId="6" applyFont="1"/>
    <xf numFmtId="0" fontId="1" fillId="0" borderId="0" xfId="6" applyFont="1" applyAlignment="1">
      <alignment horizontal="right"/>
    </xf>
    <xf numFmtId="0" fontId="2" fillId="0" borderId="0" xfId="3"/>
    <xf numFmtId="0" fontId="33" fillId="0" borderId="0" xfId="3" applyFont="1"/>
    <xf numFmtId="0" fontId="34" fillId="0" borderId="0" xfId="3" applyFont="1" applyAlignment="1">
      <alignment horizontal="center"/>
    </xf>
    <xf numFmtId="0" fontId="33" fillId="0" borderId="0" xfId="3" applyFont="1" applyAlignment="1">
      <alignment horizontal="center"/>
    </xf>
    <xf numFmtId="3" fontId="2" fillId="0" borderId="0" xfId="3" applyNumberFormat="1"/>
    <xf numFmtId="3" fontId="33" fillId="0" borderId="0" xfId="3" applyNumberFormat="1" applyFont="1"/>
    <xf numFmtId="0" fontId="2" fillId="0" borderId="14" xfId="3" applyFont="1" applyBorder="1"/>
    <xf numFmtId="3" fontId="2" fillId="0" borderId="14" xfId="3" applyNumberFormat="1" applyBorder="1"/>
    <xf numFmtId="3" fontId="33" fillId="0" borderId="14" xfId="3" applyNumberFormat="1" applyFont="1" applyBorder="1"/>
    <xf numFmtId="0" fontId="33" fillId="0" borderId="0" xfId="3" applyFont="1" applyAlignment="1">
      <alignment horizontal="right"/>
    </xf>
    <xf numFmtId="0" fontId="33" fillId="0" borderId="15" xfId="3" applyFont="1" applyBorder="1" applyAlignment="1">
      <alignment horizontal="right"/>
    </xf>
    <xf numFmtId="3" fontId="2" fillId="0" borderId="15" xfId="3" applyNumberFormat="1" applyBorder="1"/>
    <xf numFmtId="3" fontId="33" fillId="0" borderId="15" xfId="3" applyNumberFormat="1" applyFont="1" applyBorder="1"/>
    <xf numFmtId="0" fontId="1" fillId="0" borderId="0" xfId="2"/>
    <xf numFmtId="0" fontId="33" fillId="0" borderId="0" xfId="2" applyFont="1"/>
    <xf numFmtId="0" fontId="33" fillId="0" borderId="16" xfId="3" applyFont="1" applyBorder="1" applyAlignment="1">
      <alignment horizontal="center"/>
    </xf>
    <xf numFmtId="0" fontId="2" fillId="0" borderId="0" xfId="3" applyAlignment="1">
      <alignment horizontal="center"/>
    </xf>
    <xf numFmtId="0" fontId="1" fillId="0" borderId="0" xfId="4"/>
    <xf numFmtId="0" fontId="31" fillId="0" borderId="0" xfId="4" applyFont="1"/>
    <xf numFmtId="0" fontId="24" fillId="0" borderId="10" xfId="4" applyFont="1" applyBorder="1"/>
    <xf numFmtId="171" fontId="1" fillId="0" borderId="0" xfId="4" applyNumberFormat="1" applyFont="1"/>
    <xf numFmtId="171" fontId="1" fillId="0" borderId="0" xfId="4" applyNumberFormat="1" applyFont="1" applyAlignment="1">
      <alignment horizontal="right"/>
    </xf>
    <xf numFmtId="171" fontId="1" fillId="0" borderId="0" xfId="4" applyNumberFormat="1"/>
    <xf numFmtId="0" fontId="6" fillId="0" borderId="0" xfId="2" applyFont="1"/>
    <xf numFmtId="0" fontId="8" fillId="0" borderId="0" xfId="2" applyFont="1"/>
    <xf numFmtId="0" fontId="1" fillId="0" borderId="10" xfId="2" applyBorder="1"/>
    <xf numFmtId="0" fontId="24" fillId="0" borderId="10" xfId="2" applyFont="1" applyBorder="1" applyAlignment="1">
      <alignment horizontal="center"/>
    </xf>
    <xf numFmtId="0" fontId="24" fillId="0" borderId="10" xfId="2" applyFont="1" applyBorder="1" applyAlignment="1">
      <alignment horizontal="center" wrapText="1"/>
    </xf>
    <xf numFmtId="0" fontId="1" fillId="4" borderId="0" xfId="2" applyFill="1" applyAlignment="1">
      <alignment horizontal="center"/>
    </xf>
    <xf numFmtId="0" fontId="1" fillId="4" borderId="0" xfId="2" applyFill="1"/>
    <xf numFmtId="0" fontId="35" fillId="4" borderId="0" xfId="2" applyFont="1" applyFill="1"/>
    <xf numFmtId="0" fontId="1" fillId="4" borderId="14" xfId="2" applyFill="1" applyBorder="1" applyAlignment="1">
      <alignment horizontal="center"/>
    </xf>
    <xf numFmtId="0" fontId="1" fillId="4" borderId="14" xfId="2" applyFill="1" applyBorder="1"/>
    <xf numFmtId="0" fontId="24" fillId="5" borderId="0" xfId="2" applyFont="1" applyFill="1" applyAlignment="1">
      <alignment horizontal="center"/>
    </xf>
    <xf numFmtId="0" fontId="36" fillId="4" borderId="0" xfId="2" applyFont="1" applyFill="1" applyAlignment="1">
      <alignment horizontal="center"/>
    </xf>
    <xf numFmtId="0" fontId="1" fillId="6" borderId="0" xfId="2" applyFill="1"/>
    <xf numFmtId="0" fontId="37" fillId="4" borderId="0" xfId="2" applyFont="1" applyFill="1"/>
    <xf numFmtId="0" fontId="38" fillId="4" borderId="0" xfId="2" applyFont="1" applyFill="1"/>
    <xf numFmtId="0" fontId="1" fillId="4" borderId="0" xfId="2" applyFont="1" applyFill="1"/>
    <xf numFmtId="0" fontId="1" fillId="0" borderId="14" xfId="2" applyBorder="1"/>
    <xf numFmtId="0" fontId="24" fillId="5" borderId="14" xfId="2" applyFont="1" applyFill="1" applyBorder="1" applyAlignment="1">
      <alignment horizontal="center"/>
    </xf>
    <xf numFmtId="0" fontId="36" fillId="4" borderId="14" xfId="2" applyFont="1" applyFill="1" applyBorder="1" applyAlignment="1">
      <alignment horizontal="center"/>
    </xf>
    <xf numFmtId="0" fontId="1" fillId="6" borderId="14" xfId="2" applyFill="1" applyBorder="1"/>
    <xf numFmtId="0" fontId="1" fillId="0" borderId="10" xfId="2" applyBorder="1" applyAlignment="1">
      <alignment horizontal="center"/>
    </xf>
    <xf numFmtId="0" fontId="39" fillId="0" borderId="0" xfId="2" applyFont="1" applyAlignment="1">
      <alignment horizontal="right" vertical="center"/>
    </xf>
    <xf numFmtId="0" fontId="6" fillId="0" borderId="1" xfId="2" applyFont="1" applyBorder="1" applyAlignment="1">
      <alignment horizontal="center"/>
    </xf>
    <xf numFmtId="0" fontId="41" fillId="0" borderId="3" xfId="2" applyFont="1" applyBorder="1" applyAlignment="1">
      <alignment horizontal="center"/>
    </xf>
    <xf numFmtId="0" fontId="40" fillId="0" borderId="0" xfId="3" applyFont="1" applyAlignment="1">
      <alignment horizontal="right"/>
    </xf>
    <xf numFmtId="0" fontId="1" fillId="0" borderId="16" xfId="2" applyBorder="1"/>
    <xf numFmtId="0" fontId="42" fillId="0" borderId="0" xfId="3" applyFont="1"/>
    <xf numFmtId="0" fontId="6" fillId="0" borderId="0" xfId="2" applyFont="1" applyAlignment="1">
      <alignment horizontal="right" vertical="center"/>
    </xf>
    <xf numFmtId="0" fontId="6" fillId="0" borderId="0" xfId="2" applyFont="1" applyAlignment="1">
      <alignment horizontal="center"/>
    </xf>
    <xf numFmtId="0" fontId="0" fillId="0" borderId="0" xfId="0" pivotButton="1"/>
    <xf numFmtId="177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 applyAlignment="1">
      <alignment wrapText="1"/>
    </xf>
  </cellXfs>
  <cellStyles count="13">
    <cellStyle name="Currency" xfId="1" builtinId="4"/>
    <cellStyle name="Normal" xfId="0" builtinId="0"/>
    <cellStyle name="Normal 2" xfId="2" xr:uid="{00000000-0005-0000-0000-000006000000}"/>
    <cellStyle name="Normal 2 2" xfId="3" xr:uid="{00000000-0005-0000-0000-000007000000}"/>
    <cellStyle name="Normal_BeerSalesDatabase" xfId="4" xr:uid="{00000000-0005-0000-0000-000008000000}"/>
    <cellStyle name="Normal_Book1" xfId="5" xr:uid="{00000000-0005-0000-0000-000009000000}"/>
    <cellStyle name="Normal_New Tasks for 2004" xfId="6" xr:uid="{00000000-0005-0000-0000-00000A000000}"/>
    <cellStyle name="Pivot Table Category" xfId="10" xr:uid="{00000000-0005-0000-0000-00000E000000}"/>
    <cellStyle name="Pivot Table Corner" xfId="8" xr:uid="{00000000-0005-0000-0000-00000C000000}"/>
    <cellStyle name="Pivot Table Field" xfId="7" xr:uid="{00000000-0005-0000-0000-00000B000000}"/>
    <cellStyle name="Pivot Table Result" xfId="12" xr:uid="{00000000-0005-0000-0000-000010000000}"/>
    <cellStyle name="Pivot Table Title" xfId="11" xr:uid="{00000000-0005-0000-0000-00000F000000}"/>
    <cellStyle name="Pivot Table Value" xfId="9" xr:uid="{00000000-0005-0000-0000-00000D000000}"/>
  </cellStyles>
  <dxfs count="9">
    <dxf>
      <numFmt numFmtId="177" formatCode="_-[$$-409]* #,##0.00_ ;_-[$$-409]* \-#,##0.00\ ;_-[$$-409]* &quot;-&quot;??_ ;_-@_ "/>
    </dxf>
    <dxf>
      <numFmt numFmtId="177" formatCode="_-[$$-409]* #,##0.00_ ;_-[$$-409]* \-#,##0.00\ ;_-[$$-409]* &quot;-&quot;??_ ;_-@_ "/>
    </dxf>
    <dxf>
      <numFmt numFmtId="177" formatCode="_-[$$-409]* #,##0.00_ ;_-[$$-409]* \-#,##0.00\ ;_-[$$-409]* &quot;-&quot;??_ ;_-@_ "/>
    </dxf>
    <dxf>
      <alignment wrapText="1"/>
    </dxf>
    <dxf>
      <numFmt numFmtId="177" formatCode="_-[$$-409]* #,##0.00_ ;_-[$$-409]* \-#,##0.00\ ;_-[$$-409]* &quot;-&quot;??_ ;_-@_ "/>
    </dxf>
    <dxf>
      <numFmt numFmtId="177" formatCode="_-[$$-409]* #,##0.00_ ;_-[$$-409]* \-#,##0.00\ ;_-[$$-409]* &quot;-&quot;??_ ;_-@_ "/>
    </dxf>
    <dxf>
      <numFmt numFmtId="177" formatCode="_-[$$-409]* #,##0.00_ ;_-[$$-409]* \-#,##0.00\ ;_-[$$-409]* &quot;-&quot;??_ ;_-@_ "/>
    </dxf>
    <dxf>
      <numFmt numFmtId="177" formatCode="_-[$$-409]* #,##0.00_ ;_-[$$-409]* \-#,##0.00\ ;_-[$$-409]* &quot;-&quot;??_ ;_-@_ "/>
    </dxf>
    <dxf>
      <numFmt numFmtId="177" formatCode="_-[$$-409]* #,##0.00_ ;_-[$$-409]* \-#,##0.00\ ;_-[$$-409]* &quot;-&quot;??_ ;_-@_ 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3D69B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7F7F7F"/>
      <rgbColor rgb="FF002060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285840</xdr:colOff>
      <xdr:row>10</xdr:row>
      <xdr:rowOff>47520</xdr:rowOff>
    </xdr:from>
    <xdr:to>
      <xdr:col>1</xdr:col>
      <xdr:colOff>426960</xdr:colOff>
      <xdr:row>10</xdr:row>
      <xdr:rowOff>169560</xdr:rowOff>
    </xdr:to>
    <xdr:pic>
      <xdr:nvPicPr>
        <xdr:cNvPr id="2" name="Picture 1" descr="BD21295_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82080" y="2081880"/>
          <a:ext cx="141120" cy="1220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9</xdr:row>
      <xdr:rowOff>38160</xdr:rowOff>
    </xdr:from>
    <xdr:to>
      <xdr:col>1</xdr:col>
      <xdr:colOff>426960</xdr:colOff>
      <xdr:row>9</xdr:row>
      <xdr:rowOff>160200</xdr:rowOff>
    </xdr:to>
    <xdr:pic>
      <xdr:nvPicPr>
        <xdr:cNvPr id="3" name="Picture 2" descr="BD21295_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82080" y="1882080"/>
          <a:ext cx="141120" cy="1220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13</xdr:row>
      <xdr:rowOff>47520</xdr:rowOff>
    </xdr:from>
    <xdr:to>
      <xdr:col>1</xdr:col>
      <xdr:colOff>426960</xdr:colOff>
      <xdr:row>13</xdr:row>
      <xdr:rowOff>169560</xdr:rowOff>
    </xdr:to>
    <xdr:pic>
      <xdr:nvPicPr>
        <xdr:cNvPr id="4" name="Picture 3" descr="BD21295_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82080" y="2661120"/>
          <a:ext cx="141120" cy="1220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14</xdr:row>
      <xdr:rowOff>47520</xdr:rowOff>
    </xdr:from>
    <xdr:to>
      <xdr:col>1</xdr:col>
      <xdr:colOff>426960</xdr:colOff>
      <xdr:row>14</xdr:row>
      <xdr:rowOff>169560</xdr:rowOff>
    </xdr:to>
    <xdr:pic>
      <xdr:nvPicPr>
        <xdr:cNvPr id="5" name="Picture 4" descr="BD21295_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82080" y="2851560"/>
          <a:ext cx="141120" cy="1220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11</xdr:row>
      <xdr:rowOff>47520</xdr:rowOff>
    </xdr:from>
    <xdr:to>
      <xdr:col>1</xdr:col>
      <xdr:colOff>426960</xdr:colOff>
      <xdr:row>11</xdr:row>
      <xdr:rowOff>169560</xdr:rowOff>
    </xdr:to>
    <xdr:pic>
      <xdr:nvPicPr>
        <xdr:cNvPr id="6" name="Picture 5" descr="BD21295_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82080" y="2279880"/>
          <a:ext cx="141120" cy="1220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17</xdr:row>
      <xdr:rowOff>47520</xdr:rowOff>
    </xdr:from>
    <xdr:to>
      <xdr:col>1</xdr:col>
      <xdr:colOff>426960</xdr:colOff>
      <xdr:row>17</xdr:row>
      <xdr:rowOff>169560</xdr:rowOff>
    </xdr:to>
    <xdr:pic>
      <xdr:nvPicPr>
        <xdr:cNvPr id="7" name="Picture 6" descr="BD21295_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82080" y="3422880"/>
          <a:ext cx="141120" cy="1220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12</xdr:row>
      <xdr:rowOff>47520</xdr:rowOff>
    </xdr:from>
    <xdr:to>
      <xdr:col>1</xdr:col>
      <xdr:colOff>426960</xdr:colOff>
      <xdr:row>12</xdr:row>
      <xdr:rowOff>169560</xdr:rowOff>
    </xdr:to>
    <xdr:pic>
      <xdr:nvPicPr>
        <xdr:cNvPr id="8" name="Picture 10" descr="BD21295_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82080" y="2470680"/>
          <a:ext cx="141120" cy="1220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16</xdr:row>
      <xdr:rowOff>47520</xdr:rowOff>
    </xdr:from>
    <xdr:to>
      <xdr:col>1</xdr:col>
      <xdr:colOff>426960</xdr:colOff>
      <xdr:row>16</xdr:row>
      <xdr:rowOff>169560</xdr:rowOff>
    </xdr:to>
    <xdr:pic>
      <xdr:nvPicPr>
        <xdr:cNvPr id="9" name="Picture 6" descr="BD21295_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82080" y="3232440"/>
          <a:ext cx="141120" cy="1220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15</xdr:row>
      <xdr:rowOff>47520</xdr:rowOff>
    </xdr:from>
    <xdr:to>
      <xdr:col>1</xdr:col>
      <xdr:colOff>426960</xdr:colOff>
      <xdr:row>15</xdr:row>
      <xdr:rowOff>169560</xdr:rowOff>
    </xdr:to>
    <xdr:pic>
      <xdr:nvPicPr>
        <xdr:cNvPr id="10" name="Picture 6" descr="BD21295_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82080" y="3042000"/>
          <a:ext cx="141120" cy="1220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638280</xdr:colOff>
      <xdr:row>5</xdr:row>
      <xdr:rowOff>790560</xdr:rowOff>
    </xdr:from>
    <xdr:to>
      <xdr:col>4</xdr:col>
      <xdr:colOff>388800</xdr:colOff>
      <xdr:row>5</xdr:row>
      <xdr:rowOff>1074600</xdr:rowOff>
    </xdr:to>
    <xdr:sp macro="" textlink="">
      <xdr:nvSpPr>
        <xdr:cNvPr id="9" name="CustomShape 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936880" y="1674360"/>
          <a:ext cx="2529360" cy="28404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7360" tIns="27360" rIns="27360" bIns="27360" anchor="ctr">
          <a:noAutofit/>
        </a:bodyPr>
        <a:lstStyle/>
        <a:p>
          <a:pPr algn="ctr">
            <a:lnSpc>
              <a:spcPct val="100000"/>
            </a:lnSpc>
          </a:pPr>
          <a:r>
            <a:rPr lang="en-US" sz="1600" b="0" i="1" strike="noStrike" spc="-1">
              <a:solidFill>
                <a:srgbClr val="000000"/>
              </a:solidFill>
              <a:latin typeface="Book Antiqua"/>
            </a:rPr>
            <a:t>Total Pay Report</a:t>
          </a:r>
          <a:endParaRPr lang="en-US" sz="1600" b="0" strike="noStrike" spc="-1">
            <a:latin typeface="Times New Roman"/>
          </a:endParaRPr>
        </a:p>
      </xdr:txBody>
    </xdr:sp>
    <xdr:clientData/>
  </xdr:twoCellAnchor>
  <xdr:twoCellAnchor editAs="oneCell">
    <xdr:from>
      <xdr:col>8</xdr:col>
      <xdr:colOff>0</xdr:colOff>
      <xdr:row>3</xdr:row>
      <xdr:rowOff>360</xdr:rowOff>
    </xdr:from>
    <xdr:to>
      <xdr:col>8</xdr:col>
      <xdr:colOff>303120</xdr:colOff>
      <xdr:row>4</xdr:row>
      <xdr:rowOff>122400</xdr:rowOff>
    </xdr:to>
    <xdr:sp macro="" textlink="">
      <xdr:nvSpPr>
        <xdr:cNvPr id="10" name="CustomShape 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508240" y="525960"/>
          <a:ext cx="303120" cy="297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285840</xdr:colOff>
      <xdr:row>5</xdr:row>
      <xdr:rowOff>114480</xdr:rowOff>
    </xdr:from>
    <xdr:to>
      <xdr:col>1</xdr:col>
      <xdr:colOff>1017000</xdr:colOff>
      <xdr:row>6</xdr:row>
      <xdr:rowOff>164520</xdr:rowOff>
    </xdr:to>
    <xdr:pic>
      <xdr:nvPicPr>
        <xdr:cNvPr id="11" name="irc_mi" descr="http://sweetclipart.com/multisite/sweetclipart/files/smart_phone_icon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66160" y="998280"/>
          <a:ext cx="731160" cy="128808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162360</xdr:colOff>
      <xdr:row>5</xdr:row>
      <xdr:rowOff>762120</xdr:rowOff>
    </xdr:from>
    <xdr:to>
      <xdr:col>5</xdr:col>
      <xdr:colOff>1722240</xdr:colOff>
      <xdr:row>5</xdr:row>
      <xdr:rowOff>998280</xdr:rowOff>
    </xdr:to>
    <xdr:sp macro="" textlink="">
      <xdr:nvSpPr>
        <xdr:cNvPr id="12" name="CustomShap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2606760" y="1684080"/>
          <a:ext cx="3463920" cy="2361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7360" tIns="27360" rIns="27360" bIns="27360" anchor="ctr">
          <a:noAutofit/>
        </a:bodyPr>
        <a:lstStyle/>
        <a:p>
          <a:pPr algn="ctr">
            <a:lnSpc>
              <a:spcPct val="100000"/>
            </a:lnSpc>
          </a:pPr>
          <a:r>
            <a:rPr lang="en-US" sz="1100" b="0" i="1" strike="noStrike" spc="-1">
              <a:latin typeface="Calibri"/>
            </a:rPr>
            <a:t>Employee Name Report</a:t>
          </a:r>
          <a:endParaRPr lang="en-US" sz="11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1333440</xdr:colOff>
      <xdr:row>4</xdr:row>
      <xdr:rowOff>815760</xdr:rowOff>
    </xdr:from>
    <xdr:to>
      <xdr:col>4</xdr:col>
      <xdr:colOff>447480</xdr:colOff>
      <xdr:row>4</xdr:row>
      <xdr:rowOff>1051920</xdr:rowOff>
    </xdr:to>
    <xdr:sp macro="" textlink="">
      <xdr:nvSpPr>
        <xdr:cNvPr id="13" name="CustomShape 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2029680" y="1554840"/>
          <a:ext cx="3533760" cy="2361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7360" tIns="27360" rIns="27360" bIns="27360" anchor="ctr">
          <a:noAutofit/>
        </a:bodyPr>
        <a:lstStyle/>
        <a:p>
          <a:pPr algn="ctr">
            <a:lnSpc>
              <a:spcPct val="100000"/>
            </a:lnSpc>
          </a:pPr>
          <a:r>
            <a:rPr lang="en-US" sz="1400" b="0" i="1" strike="noStrike" spc="-1">
              <a:solidFill>
                <a:srgbClr val="000000"/>
              </a:solidFill>
              <a:latin typeface="Book Antiqua"/>
            </a:rPr>
            <a:t>Sales Summary</a:t>
          </a:r>
          <a:endParaRPr lang="en-US" sz="1400" b="0" strike="noStrike" spc="-1">
            <a:latin typeface="Times New Roman"/>
          </a:endParaRPr>
        </a:p>
      </xdr:txBody>
    </xdr:sp>
    <xdr:clientData/>
  </xdr:twoCellAnchor>
  <xdr:twoCellAnchor editAs="oneCell">
    <xdr:from>
      <xdr:col>1</xdr:col>
      <xdr:colOff>233640</xdr:colOff>
      <xdr:row>4</xdr:row>
      <xdr:rowOff>90000</xdr:rowOff>
    </xdr:from>
    <xdr:to>
      <xdr:col>1</xdr:col>
      <xdr:colOff>964800</xdr:colOff>
      <xdr:row>5</xdr:row>
      <xdr:rowOff>138240</xdr:rowOff>
    </xdr:to>
    <xdr:pic>
      <xdr:nvPicPr>
        <xdr:cNvPr id="14" name="irc_mi" descr="http://sweetclipart.com/multisite/sweetclipart/files/smart_phone_icon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29880" y="829080"/>
          <a:ext cx="731160" cy="128628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200520</xdr:colOff>
      <xdr:row>10</xdr:row>
      <xdr:rowOff>28800</xdr:rowOff>
    </xdr:from>
    <xdr:to>
      <xdr:col>4</xdr:col>
      <xdr:colOff>455400</xdr:colOff>
      <xdr:row>16</xdr:row>
      <xdr:rowOff>55080</xdr:rowOff>
    </xdr:to>
    <xdr:sp macro="" textlink="">
      <xdr:nvSpPr>
        <xdr:cNvPr id="15" name="CustomShape 1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896760" y="1750680"/>
          <a:ext cx="2112480" cy="1065240"/>
        </a:xfrm>
        <a:prstGeom prst="rect">
          <a:avLst/>
        </a:prstGeom>
        <a:solidFill>
          <a:srgbClr val="CFDFD3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91440" rIns="90000" bIns="91440">
          <a:noAutofit/>
        </a:bodyPr>
        <a:lstStyle/>
        <a:p>
          <a:pPr>
            <a:lnSpc>
              <a:spcPct val="100000"/>
            </a:lnSpc>
          </a:pPr>
          <a:r>
            <a:rPr lang="en-US" sz="1000" b="0" strike="noStrike" spc="-1">
              <a:solidFill>
                <a:srgbClr val="000000"/>
              </a:solidFill>
              <a:latin typeface="Arial"/>
            </a:rPr>
            <a:t>Monthly Returns on Philip Morris stock in the 83 months from 1990 to mid-1997. The minimum return is -26.6 and the maximum return is 19.2. </a:t>
          </a:r>
          <a:endParaRPr lang="en-US" sz="1000" b="0" strike="noStrike" spc="-1">
            <a:latin typeface="Times New Roman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4326.587548148149" createdVersion="7" refreshedVersion="7" minRefreshableVersion="3" recordCount="216" xr:uid="{C1EFE783-5FBB-4D61-A65A-08E76B2CB156}">
  <cacheSource type="worksheet">
    <worksheetSource ref="C8:G224" sheet="Task 8- Pivot Tables"/>
  </cacheSource>
  <cacheFields count="5">
    <cacheField name="Season" numFmtId="0">
      <sharedItems count="4">
        <s v="Fall"/>
        <s v="Spring"/>
        <s v="Summer"/>
        <s v="Winter"/>
      </sharedItems>
    </cacheField>
    <cacheField name="Year" numFmtId="0">
      <sharedItems containsSemiMixedTypes="0" containsString="0" containsNumber="1" containsInteger="1" minValue="2004" maxValue="2006" count="3">
        <n v="2004"/>
        <n v="2005"/>
        <n v="2006"/>
      </sharedItems>
    </cacheField>
    <cacheField name="Type" numFmtId="0">
      <sharedItems count="6">
        <s v="Amber Ale"/>
        <s v="Hefeweizen"/>
        <s v="Pale Ale"/>
        <s v="Pilsner"/>
        <s v="Porter"/>
        <s v="Stout"/>
      </sharedItems>
    </cacheField>
    <cacheField name="State" numFmtId="0">
      <sharedItems count="3">
        <s v="California"/>
        <s v="Oregon"/>
        <s v="Washington"/>
      </sharedItems>
    </cacheField>
    <cacheField name="Sales $" numFmtId="171">
      <sharedItems containsSemiMixedTypes="0" containsString="0" containsNumber="1" containsInteger="1" minValue="319614" maxValue="709122" count="216">
        <n v="554536"/>
        <n v="540643"/>
        <n v="577548"/>
        <n v="455905"/>
        <n v="490871"/>
        <n v="446383"/>
        <n v="457726"/>
        <n v="347696"/>
        <n v="384541"/>
        <n v="386420"/>
        <n v="370970"/>
        <n v="430754"/>
        <n v="500847"/>
        <n v="507070"/>
        <n v="482346"/>
        <n v="608713"/>
        <n v="554127"/>
        <n v="500649"/>
        <n v="545780"/>
        <n v="440644"/>
        <n v="580359"/>
        <n v="536225"/>
        <n v="414908"/>
        <n v="377997"/>
        <n v="331289"/>
        <n v="384572"/>
        <n v="365813"/>
        <n v="396338"/>
        <n v="453761"/>
        <n v="356538"/>
        <n v="606332"/>
        <n v="535218"/>
        <n v="493364"/>
        <n v="559100"/>
        <n v="520592"/>
        <n v="476975"/>
        <n v="545621"/>
        <n v="489255"/>
        <n v="523124"/>
        <n v="612216"/>
        <n v="425562"/>
        <n v="485285"/>
        <n v="467173"/>
        <n v="447637"/>
        <n v="407542"/>
        <n v="449575"/>
        <n v="403248"/>
        <n v="449293"/>
        <n v="493845"/>
        <n v="523464"/>
        <n v="575692"/>
        <n v="568633"/>
        <n v="608569"/>
        <n v="487012"/>
        <n v="519177"/>
        <n v="488597"/>
        <n v="456653"/>
        <n v="528843"/>
        <n v="420782"/>
        <n v="439751"/>
        <n v="348503"/>
        <n v="352086"/>
        <n v="336824"/>
        <n v="350924"/>
        <n v="338334"/>
        <n v="383738"/>
        <n v="508939"/>
        <n v="393294"/>
        <n v="430380"/>
        <n v="390741"/>
        <n v="500437"/>
        <n v="522282"/>
        <n v="514649"/>
        <n v="498673"/>
        <n v="541930"/>
        <n v="541022"/>
        <n v="487516"/>
        <n v="558787"/>
        <n v="393690"/>
        <n v="427784"/>
        <n v="386772"/>
        <n v="430461"/>
        <n v="481311"/>
        <n v="529637"/>
        <n v="596707"/>
        <n v="541275"/>
        <n v="574091"/>
        <n v="567246"/>
        <n v="530193"/>
        <n v="475884"/>
        <n v="533691"/>
        <n v="534352"/>
        <n v="588845"/>
        <n v="513750"/>
        <n v="516692"/>
        <n v="539883"/>
        <n v="418483"/>
        <n v="452955"/>
        <n v="432909"/>
        <n v="493853"/>
        <n v="393368"/>
        <n v="405946"/>
        <n v="561874"/>
        <n v="544747"/>
        <n v="470339"/>
        <n v="530410"/>
        <n v="455378"/>
        <n v="668180"/>
        <n v="597626"/>
        <n v="612909"/>
        <n v="585669"/>
        <n v="641282"/>
        <n v="447013"/>
        <n v="476238"/>
        <n v="421466"/>
        <n v="427983"/>
        <n v="429498"/>
        <n v="544597"/>
        <n v="446014"/>
        <n v="487611"/>
        <n v="565106"/>
        <n v="567487"/>
        <n v="538648"/>
        <n v="708608"/>
        <n v="634104"/>
        <n v="522179"/>
        <n v="511406"/>
        <n v="487020"/>
        <n v="563504"/>
        <n v="565428"/>
        <n v="380743"/>
        <n v="351971"/>
        <n v="388646"/>
        <n v="337401"/>
        <n v="441713"/>
        <n v="438764"/>
        <n v="378201"/>
        <n v="413519"/>
        <n v="516512"/>
        <n v="494282"/>
        <n v="538958"/>
        <n v="502214"/>
        <n v="539525"/>
        <n v="517806"/>
        <n v="625097"/>
        <n v="632542"/>
        <n v="565957"/>
        <n v="609354"/>
        <n v="501393"/>
        <n v="461281"/>
        <n v="476654"/>
        <n v="405717"/>
        <n v="407780"/>
        <n v="462903"/>
        <n v="460030"/>
        <n v="463982"/>
        <n v="622573"/>
        <n v="578387"/>
        <n v="579998"/>
        <n v="594253"/>
        <n v="473198"/>
        <n v="601406"/>
        <n v="616561"/>
        <n v="559403"/>
        <n v="597369"/>
        <n v="709122"/>
        <n v="462316"/>
        <n v="466554"/>
        <n v="380338"/>
        <n v="406420"/>
        <n v="422373"/>
        <n v="385923"/>
        <n v="474148"/>
        <n v="438409"/>
        <n v="554317"/>
        <n v="609069"/>
        <n v="563406"/>
        <n v="606490"/>
        <n v="564560"/>
        <n v="600194"/>
        <n v="549802"/>
        <n v="493119"/>
        <n v="576355"/>
        <n v="670233"/>
        <n v="524001"/>
        <n v="527703"/>
        <n v="355197"/>
        <n v="420947"/>
        <n v="423393"/>
        <n v="547726"/>
        <n v="478507"/>
        <n v="425549"/>
        <n v="618631"/>
        <n v="593074"/>
        <n v="708115"/>
        <n v="657230"/>
        <n v="636020"/>
        <n v="648918"/>
        <n v="508848"/>
        <n v="522433"/>
        <n v="526729"/>
        <n v="504010"/>
        <n v="426401"/>
        <n v="430903"/>
        <n v="319614"/>
        <n v="417155"/>
        <n v="395381"/>
        <n v="385921"/>
        <n v="349157"/>
        <n v="375737"/>
        <n v="528322"/>
        <n v="497798"/>
        <n v="515122"/>
        <n v="501404"/>
        <n v="518350"/>
        <n v="445582"/>
      </sharedItems>
    </cacheField>
  </cacheFields>
  <extLst>
    <ext xmlns:x14="http://schemas.microsoft.com/office/spreadsheetml/2009/9/main" uri="{725AE2AE-9491-48be-B2B4-4EB974FC3084}">
      <x14:pivotCacheDefinition pivotCacheId="208461383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">
  <r>
    <x v="0"/>
    <x v="0"/>
    <x v="0"/>
    <x v="0"/>
    <x v="0"/>
  </r>
  <r>
    <x v="0"/>
    <x v="0"/>
    <x v="1"/>
    <x v="0"/>
    <x v="1"/>
  </r>
  <r>
    <x v="0"/>
    <x v="0"/>
    <x v="2"/>
    <x v="0"/>
    <x v="2"/>
  </r>
  <r>
    <x v="0"/>
    <x v="0"/>
    <x v="3"/>
    <x v="0"/>
    <x v="3"/>
  </r>
  <r>
    <x v="0"/>
    <x v="0"/>
    <x v="4"/>
    <x v="0"/>
    <x v="4"/>
  </r>
  <r>
    <x v="0"/>
    <x v="0"/>
    <x v="5"/>
    <x v="0"/>
    <x v="5"/>
  </r>
  <r>
    <x v="0"/>
    <x v="0"/>
    <x v="0"/>
    <x v="1"/>
    <x v="6"/>
  </r>
  <r>
    <x v="0"/>
    <x v="0"/>
    <x v="1"/>
    <x v="1"/>
    <x v="7"/>
  </r>
  <r>
    <x v="0"/>
    <x v="0"/>
    <x v="2"/>
    <x v="1"/>
    <x v="8"/>
  </r>
  <r>
    <x v="0"/>
    <x v="0"/>
    <x v="3"/>
    <x v="1"/>
    <x v="9"/>
  </r>
  <r>
    <x v="0"/>
    <x v="0"/>
    <x v="4"/>
    <x v="1"/>
    <x v="10"/>
  </r>
  <r>
    <x v="0"/>
    <x v="0"/>
    <x v="5"/>
    <x v="1"/>
    <x v="11"/>
  </r>
  <r>
    <x v="0"/>
    <x v="0"/>
    <x v="0"/>
    <x v="2"/>
    <x v="12"/>
  </r>
  <r>
    <x v="0"/>
    <x v="0"/>
    <x v="1"/>
    <x v="2"/>
    <x v="13"/>
  </r>
  <r>
    <x v="0"/>
    <x v="0"/>
    <x v="2"/>
    <x v="2"/>
    <x v="14"/>
  </r>
  <r>
    <x v="0"/>
    <x v="0"/>
    <x v="3"/>
    <x v="2"/>
    <x v="15"/>
  </r>
  <r>
    <x v="0"/>
    <x v="0"/>
    <x v="4"/>
    <x v="2"/>
    <x v="16"/>
  </r>
  <r>
    <x v="0"/>
    <x v="0"/>
    <x v="5"/>
    <x v="2"/>
    <x v="17"/>
  </r>
  <r>
    <x v="1"/>
    <x v="0"/>
    <x v="0"/>
    <x v="0"/>
    <x v="18"/>
  </r>
  <r>
    <x v="1"/>
    <x v="0"/>
    <x v="1"/>
    <x v="0"/>
    <x v="19"/>
  </r>
  <r>
    <x v="1"/>
    <x v="0"/>
    <x v="2"/>
    <x v="0"/>
    <x v="20"/>
  </r>
  <r>
    <x v="1"/>
    <x v="0"/>
    <x v="3"/>
    <x v="0"/>
    <x v="21"/>
  </r>
  <r>
    <x v="1"/>
    <x v="0"/>
    <x v="4"/>
    <x v="0"/>
    <x v="22"/>
  </r>
  <r>
    <x v="1"/>
    <x v="0"/>
    <x v="5"/>
    <x v="0"/>
    <x v="23"/>
  </r>
  <r>
    <x v="1"/>
    <x v="0"/>
    <x v="0"/>
    <x v="1"/>
    <x v="24"/>
  </r>
  <r>
    <x v="1"/>
    <x v="0"/>
    <x v="1"/>
    <x v="1"/>
    <x v="25"/>
  </r>
  <r>
    <x v="1"/>
    <x v="0"/>
    <x v="2"/>
    <x v="1"/>
    <x v="26"/>
  </r>
  <r>
    <x v="1"/>
    <x v="0"/>
    <x v="3"/>
    <x v="1"/>
    <x v="27"/>
  </r>
  <r>
    <x v="1"/>
    <x v="0"/>
    <x v="4"/>
    <x v="1"/>
    <x v="28"/>
  </r>
  <r>
    <x v="1"/>
    <x v="0"/>
    <x v="5"/>
    <x v="1"/>
    <x v="29"/>
  </r>
  <r>
    <x v="1"/>
    <x v="0"/>
    <x v="0"/>
    <x v="2"/>
    <x v="30"/>
  </r>
  <r>
    <x v="1"/>
    <x v="0"/>
    <x v="1"/>
    <x v="2"/>
    <x v="31"/>
  </r>
  <r>
    <x v="1"/>
    <x v="0"/>
    <x v="2"/>
    <x v="2"/>
    <x v="32"/>
  </r>
  <r>
    <x v="1"/>
    <x v="0"/>
    <x v="3"/>
    <x v="2"/>
    <x v="33"/>
  </r>
  <r>
    <x v="1"/>
    <x v="0"/>
    <x v="4"/>
    <x v="2"/>
    <x v="34"/>
  </r>
  <r>
    <x v="1"/>
    <x v="0"/>
    <x v="5"/>
    <x v="2"/>
    <x v="35"/>
  </r>
  <r>
    <x v="2"/>
    <x v="0"/>
    <x v="0"/>
    <x v="0"/>
    <x v="36"/>
  </r>
  <r>
    <x v="2"/>
    <x v="0"/>
    <x v="1"/>
    <x v="0"/>
    <x v="37"/>
  </r>
  <r>
    <x v="2"/>
    <x v="0"/>
    <x v="2"/>
    <x v="0"/>
    <x v="38"/>
  </r>
  <r>
    <x v="2"/>
    <x v="0"/>
    <x v="3"/>
    <x v="0"/>
    <x v="39"/>
  </r>
  <r>
    <x v="2"/>
    <x v="0"/>
    <x v="4"/>
    <x v="0"/>
    <x v="40"/>
  </r>
  <r>
    <x v="2"/>
    <x v="0"/>
    <x v="5"/>
    <x v="0"/>
    <x v="41"/>
  </r>
  <r>
    <x v="2"/>
    <x v="0"/>
    <x v="0"/>
    <x v="1"/>
    <x v="42"/>
  </r>
  <r>
    <x v="2"/>
    <x v="0"/>
    <x v="1"/>
    <x v="1"/>
    <x v="43"/>
  </r>
  <r>
    <x v="2"/>
    <x v="0"/>
    <x v="2"/>
    <x v="1"/>
    <x v="44"/>
  </r>
  <r>
    <x v="2"/>
    <x v="0"/>
    <x v="3"/>
    <x v="1"/>
    <x v="45"/>
  </r>
  <r>
    <x v="2"/>
    <x v="0"/>
    <x v="4"/>
    <x v="1"/>
    <x v="46"/>
  </r>
  <r>
    <x v="2"/>
    <x v="0"/>
    <x v="5"/>
    <x v="1"/>
    <x v="47"/>
  </r>
  <r>
    <x v="2"/>
    <x v="0"/>
    <x v="0"/>
    <x v="2"/>
    <x v="48"/>
  </r>
  <r>
    <x v="2"/>
    <x v="0"/>
    <x v="1"/>
    <x v="2"/>
    <x v="49"/>
  </r>
  <r>
    <x v="2"/>
    <x v="0"/>
    <x v="2"/>
    <x v="2"/>
    <x v="50"/>
  </r>
  <r>
    <x v="2"/>
    <x v="0"/>
    <x v="3"/>
    <x v="2"/>
    <x v="51"/>
  </r>
  <r>
    <x v="2"/>
    <x v="0"/>
    <x v="4"/>
    <x v="2"/>
    <x v="52"/>
  </r>
  <r>
    <x v="2"/>
    <x v="0"/>
    <x v="5"/>
    <x v="2"/>
    <x v="53"/>
  </r>
  <r>
    <x v="3"/>
    <x v="0"/>
    <x v="0"/>
    <x v="0"/>
    <x v="54"/>
  </r>
  <r>
    <x v="3"/>
    <x v="0"/>
    <x v="1"/>
    <x v="0"/>
    <x v="55"/>
  </r>
  <r>
    <x v="3"/>
    <x v="0"/>
    <x v="2"/>
    <x v="0"/>
    <x v="56"/>
  </r>
  <r>
    <x v="3"/>
    <x v="0"/>
    <x v="3"/>
    <x v="0"/>
    <x v="57"/>
  </r>
  <r>
    <x v="3"/>
    <x v="0"/>
    <x v="4"/>
    <x v="0"/>
    <x v="58"/>
  </r>
  <r>
    <x v="3"/>
    <x v="0"/>
    <x v="5"/>
    <x v="0"/>
    <x v="59"/>
  </r>
  <r>
    <x v="3"/>
    <x v="0"/>
    <x v="0"/>
    <x v="1"/>
    <x v="60"/>
  </r>
  <r>
    <x v="3"/>
    <x v="0"/>
    <x v="1"/>
    <x v="1"/>
    <x v="61"/>
  </r>
  <r>
    <x v="3"/>
    <x v="0"/>
    <x v="2"/>
    <x v="1"/>
    <x v="62"/>
  </r>
  <r>
    <x v="3"/>
    <x v="0"/>
    <x v="3"/>
    <x v="1"/>
    <x v="63"/>
  </r>
  <r>
    <x v="3"/>
    <x v="0"/>
    <x v="4"/>
    <x v="1"/>
    <x v="64"/>
  </r>
  <r>
    <x v="3"/>
    <x v="0"/>
    <x v="5"/>
    <x v="1"/>
    <x v="65"/>
  </r>
  <r>
    <x v="3"/>
    <x v="0"/>
    <x v="0"/>
    <x v="2"/>
    <x v="66"/>
  </r>
  <r>
    <x v="3"/>
    <x v="0"/>
    <x v="1"/>
    <x v="2"/>
    <x v="67"/>
  </r>
  <r>
    <x v="3"/>
    <x v="0"/>
    <x v="2"/>
    <x v="2"/>
    <x v="68"/>
  </r>
  <r>
    <x v="3"/>
    <x v="0"/>
    <x v="3"/>
    <x v="2"/>
    <x v="69"/>
  </r>
  <r>
    <x v="3"/>
    <x v="0"/>
    <x v="4"/>
    <x v="2"/>
    <x v="70"/>
  </r>
  <r>
    <x v="3"/>
    <x v="0"/>
    <x v="5"/>
    <x v="2"/>
    <x v="71"/>
  </r>
  <r>
    <x v="0"/>
    <x v="1"/>
    <x v="0"/>
    <x v="0"/>
    <x v="72"/>
  </r>
  <r>
    <x v="0"/>
    <x v="1"/>
    <x v="1"/>
    <x v="0"/>
    <x v="73"/>
  </r>
  <r>
    <x v="0"/>
    <x v="1"/>
    <x v="2"/>
    <x v="0"/>
    <x v="74"/>
  </r>
  <r>
    <x v="0"/>
    <x v="1"/>
    <x v="3"/>
    <x v="0"/>
    <x v="75"/>
  </r>
  <r>
    <x v="0"/>
    <x v="1"/>
    <x v="4"/>
    <x v="0"/>
    <x v="76"/>
  </r>
  <r>
    <x v="0"/>
    <x v="1"/>
    <x v="5"/>
    <x v="0"/>
    <x v="77"/>
  </r>
  <r>
    <x v="0"/>
    <x v="1"/>
    <x v="0"/>
    <x v="1"/>
    <x v="78"/>
  </r>
  <r>
    <x v="0"/>
    <x v="1"/>
    <x v="1"/>
    <x v="1"/>
    <x v="79"/>
  </r>
  <r>
    <x v="0"/>
    <x v="1"/>
    <x v="2"/>
    <x v="1"/>
    <x v="80"/>
  </r>
  <r>
    <x v="0"/>
    <x v="1"/>
    <x v="3"/>
    <x v="1"/>
    <x v="81"/>
  </r>
  <r>
    <x v="0"/>
    <x v="1"/>
    <x v="4"/>
    <x v="1"/>
    <x v="82"/>
  </r>
  <r>
    <x v="0"/>
    <x v="1"/>
    <x v="5"/>
    <x v="1"/>
    <x v="83"/>
  </r>
  <r>
    <x v="0"/>
    <x v="1"/>
    <x v="0"/>
    <x v="2"/>
    <x v="84"/>
  </r>
  <r>
    <x v="0"/>
    <x v="1"/>
    <x v="1"/>
    <x v="2"/>
    <x v="85"/>
  </r>
  <r>
    <x v="0"/>
    <x v="1"/>
    <x v="2"/>
    <x v="2"/>
    <x v="86"/>
  </r>
  <r>
    <x v="0"/>
    <x v="1"/>
    <x v="3"/>
    <x v="2"/>
    <x v="87"/>
  </r>
  <r>
    <x v="0"/>
    <x v="1"/>
    <x v="4"/>
    <x v="2"/>
    <x v="88"/>
  </r>
  <r>
    <x v="0"/>
    <x v="1"/>
    <x v="5"/>
    <x v="2"/>
    <x v="89"/>
  </r>
  <r>
    <x v="1"/>
    <x v="1"/>
    <x v="0"/>
    <x v="0"/>
    <x v="90"/>
  </r>
  <r>
    <x v="1"/>
    <x v="1"/>
    <x v="1"/>
    <x v="0"/>
    <x v="91"/>
  </r>
  <r>
    <x v="1"/>
    <x v="1"/>
    <x v="2"/>
    <x v="0"/>
    <x v="92"/>
  </r>
  <r>
    <x v="1"/>
    <x v="1"/>
    <x v="3"/>
    <x v="0"/>
    <x v="93"/>
  </r>
  <r>
    <x v="1"/>
    <x v="1"/>
    <x v="4"/>
    <x v="0"/>
    <x v="94"/>
  </r>
  <r>
    <x v="1"/>
    <x v="1"/>
    <x v="5"/>
    <x v="0"/>
    <x v="95"/>
  </r>
  <r>
    <x v="1"/>
    <x v="1"/>
    <x v="0"/>
    <x v="1"/>
    <x v="96"/>
  </r>
  <r>
    <x v="1"/>
    <x v="1"/>
    <x v="1"/>
    <x v="1"/>
    <x v="97"/>
  </r>
  <r>
    <x v="1"/>
    <x v="1"/>
    <x v="2"/>
    <x v="1"/>
    <x v="98"/>
  </r>
  <r>
    <x v="1"/>
    <x v="1"/>
    <x v="3"/>
    <x v="1"/>
    <x v="99"/>
  </r>
  <r>
    <x v="1"/>
    <x v="1"/>
    <x v="4"/>
    <x v="1"/>
    <x v="100"/>
  </r>
  <r>
    <x v="1"/>
    <x v="1"/>
    <x v="5"/>
    <x v="1"/>
    <x v="101"/>
  </r>
  <r>
    <x v="1"/>
    <x v="1"/>
    <x v="0"/>
    <x v="2"/>
    <x v="102"/>
  </r>
  <r>
    <x v="1"/>
    <x v="1"/>
    <x v="1"/>
    <x v="2"/>
    <x v="103"/>
  </r>
  <r>
    <x v="1"/>
    <x v="1"/>
    <x v="2"/>
    <x v="2"/>
    <x v="104"/>
  </r>
  <r>
    <x v="1"/>
    <x v="1"/>
    <x v="3"/>
    <x v="2"/>
    <x v="105"/>
  </r>
  <r>
    <x v="1"/>
    <x v="1"/>
    <x v="4"/>
    <x v="2"/>
    <x v="106"/>
  </r>
  <r>
    <x v="1"/>
    <x v="1"/>
    <x v="5"/>
    <x v="2"/>
    <x v="107"/>
  </r>
  <r>
    <x v="2"/>
    <x v="1"/>
    <x v="0"/>
    <x v="0"/>
    <x v="108"/>
  </r>
  <r>
    <x v="2"/>
    <x v="1"/>
    <x v="1"/>
    <x v="0"/>
    <x v="109"/>
  </r>
  <r>
    <x v="2"/>
    <x v="1"/>
    <x v="2"/>
    <x v="0"/>
    <x v="110"/>
  </r>
  <r>
    <x v="2"/>
    <x v="1"/>
    <x v="3"/>
    <x v="0"/>
    <x v="111"/>
  </r>
  <r>
    <x v="2"/>
    <x v="1"/>
    <x v="4"/>
    <x v="0"/>
    <x v="112"/>
  </r>
  <r>
    <x v="2"/>
    <x v="1"/>
    <x v="5"/>
    <x v="0"/>
    <x v="113"/>
  </r>
  <r>
    <x v="2"/>
    <x v="1"/>
    <x v="0"/>
    <x v="1"/>
    <x v="114"/>
  </r>
  <r>
    <x v="2"/>
    <x v="1"/>
    <x v="1"/>
    <x v="1"/>
    <x v="115"/>
  </r>
  <r>
    <x v="2"/>
    <x v="1"/>
    <x v="2"/>
    <x v="1"/>
    <x v="116"/>
  </r>
  <r>
    <x v="2"/>
    <x v="1"/>
    <x v="3"/>
    <x v="1"/>
    <x v="117"/>
  </r>
  <r>
    <x v="2"/>
    <x v="1"/>
    <x v="4"/>
    <x v="1"/>
    <x v="118"/>
  </r>
  <r>
    <x v="2"/>
    <x v="1"/>
    <x v="5"/>
    <x v="1"/>
    <x v="119"/>
  </r>
  <r>
    <x v="2"/>
    <x v="1"/>
    <x v="0"/>
    <x v="2"/>
    <x v="120"/>
  </r>
  <r>
    <x v="2"/>
    <x v="1"/>
    <x v="1"/>
    <x v="2"/>
    <x v="121"/>
  </r>
  <r>
    <x v="2"/>
    <x v="1"/>
    <x v="2"/>
    <x v="2"/>
    <x v="122"/>
  </r>
  <r>
    <x v="2"/>
    <x v="1"/>
    <x v="3"/>
    <x v="2"/>
    <x v="123"/>
  </r>
  <r>
    <x v="2"/>
    <x v="1"/>
    <x v="4"/>
    <x v="2"/>
    <x v="124"/>
  </r>
  <r>
    <x v="2"/>
    <x v="1"/>
    <x v="5"/>
    <x v="2"/>
    <x v="125"/>
  </r>
  <r>
    <x v="3"/>
    <x v="1"/>
    <x v="0"/>
    <x v="0"/>
    <x v="126"/>
  </r>
  <r>
    <x v="3"/>
    <x v="1"/>
    <x v="1"/>
    <x v="0"/>
    <x v="127"/>
  </r>
  <r>
    <x v="3"/>
    <x v="1"/>
    <x v="2"/>
    <x v="0"/>
    <x v="128"/>
  </r>
  <r>
    <x v="3"/>
    <x v="1"/>
    <x v="3"/>
    <x v="0"/>
    <x v="129"/>
  </r>
  <r>
    <x v="3"/>
    <x v="1"/>
    <x v="4"/>
    <x v="0"/>
    <x v="130"/>
  </r>
  <r>
    <x v="3"/>
    <x v="1"/>
    <x v="5"/>
    <x v="0"/>
    <x v="131"/>
  </r>
  <r>
    <x v="3"/>
    <x v="1"/>
    <x v="0"/>
    <x v="1"/>
    <x v="132"/>
  </r>
  <r>
    <x v="3"/>
    <x v="1"/>
    <x v="1"/>
    <x v="1"/>
    <x v="133"/>
  </r>
  <r>
    <x v="3"/>
    <x v="1"/>
    <x v="2"/>
    <x v="1"/>
    <x v="134"/>
  </r>
  <r>
    <x v="3"/>
    <x v="1"/>
    <x v="3"/>
    <x v="1"/>
    <x v="135"/>
  </r>
  <r>
    <x v="3"/>
    <x v="1"/>
    <x v="4"/>
    <x v="1"/>
    <x v="136"/>
  </r>
  <r>
    <x v="3"/>
    <x v="1"/>
    <x v="5"/>
    <x v="1"/>
    <x v="137"/>
  </r>
  <r>
    <x v="3"/>
    <x v="1"/>
    <x v="0"/>
    <x v="2"/>
    <x v="138"/>
  </r>
  <r>
    <x v="3"/>
    <x v="1"/>
    <x v="1"/>
    <x v="2"/>
    <x v="139"/>
  </r>
  <r>
    <x v="3"/>
    <x v="1"/>
    <x v="2"/>
    <x v="2"/>
    <x v="140"/>
  </r>
  <r>
    <x v="3"/>
    <x v="1"/>
    <x v="3"/>
    <x v="2"/>
    <x v="141"/>
  </r>
  <r>
    <x v="3"/>
    <x v="1"/>
    <x v="4"/>
    <x v="2"/>
    <x v="142"/>
  </r>
  <r>
    <x v="3"/>
    <x v="1"/>
    <x v="5"/>
    <x v="2"/>
    <x v="143"/>
  </r>
  <r>
    <x v="0"/>
    <x v="2"/>
    <x v="0"/>
    <x v="0"/>
    <x v="144"/>
  </r>
  <r>
    <x v="0"/>
    <x v="2"/>
    <x v="1"/>
    <x v="0"/>
    <x v="145"/>
  </r>
  <r>
    <x v="0"/>
    <x v="2"/>
    <x v="2"/>
    <x v="0"/>
    <x v="146"/>
  </r>
  <r>
    <x v="0"/>
    <x v="2"/>
    <x v="3"/>
    <x v="0"/>
    <x v="147"/>
  </r>
  <r>
    <x v="0"/>
    <x v="2"/>
    <x v="4"/>
    <x v="0"/>
    <x v="148"/>
  </r>
  <r>
    <x v="0"/>
    <x v="2"/>
    <x v="5"/>
    <x v="0"/>
    <x v="149"/>
  </r>
  <r>
    <x v="0"/>
    <x v="2"/>
    <x v="0"/>
    <x v="1"/>
    <x v="150"/>
  </r>
  <r>
    <x v="0"/>
    <x v="2"/>
    <x v="1"/>
    <x v="1"/>
    <x v="151"/>
  </r>
  <r>
    <x v="0"/>
    <x v="2"/>
    <x v="2"/>
    <x v="1"/>
    <x v="152"/>
  </r>
  <r>
    <x v="0"/>
    <x v="2"/>
    <x v="3"/>
    <x v="1"/>
    <x v="153"/>
  </r>
  <r>
    <x v="0"/>
    <x v="2"/>
    <x v="4"/>
    <x v="1"/>
    <x v="154"/>
  </r>
  <r>
    <x v="0"/>
    <x v="2"/>
    <x v="5"/>
    <x v="1"/>
    <x v="155"/>
  </r>
  <r>
    <x v="0"/>
    <x v="2"/>
    <x v="0"/>
    <x v="2"/>
    <x v="156"/>
  </r>
  <r>
    <x v="0"/>
    <x v="2"/>
    <x v="1"/>
    <x v="2"/>
    <x v="157"/>
  </r>
  <r>
    <x v="0"/>
    <x v="2"/>
    <x v="2"/>
    <x v="2"/>
    <x v="158"/>
  </r>
  <r>
    <x v="0"/>
    <x v="2"/>
    <x v="3"/>
    <x v="2"/>
    <x v="159"/>
  </r>
  <r>
    <x v="0"/>
    <x v="2"/>
    <x v="4"/>
    <x v="2"/>
    <x v="160"/>
  </r>
  <r>
    <x v="0"/>
    <x v="2"/>
    <x v="5"/>
    <x v="2"/>
    <x v="161"/>
  </r>
  <r>
    <x v="1"/>
    <x v="2"/>
    <x v="0"/>
    <x v="0"/>
    <x v="162"/>
  </r>
  <r>
    <x v="1"/>
    <x v="2"/>
    <x v="1"/>
    <x v="0"/>
    <x v="163"/>
  </r>
  <r>
    <x v="1"/>
    <x v="2"/>
    <x v="2"/>
    <x v="0"/>
    <x v="164"/>
  </r>
  <r>
    <x v="1"/>
    <x v="2"/>
    <x v="3"/>
    <x v="0"/>
    <x v="165"/>
  </r>
  <r>
    <x v="1"/>
    <x v="2"/>
    <x v="4"/>
    <x v="0"/>
    <x v="166"/>
  </r>
  <r>
    <x v="1"/>
    <x v="2"/>
    <x v="5"/>
    <x v="0"/>
    <x v="167"/>
  </r>
  <r>
    <x v="1"/>
    <x v="2"/>
    <x v="0"/>
    <x v="1"/>
    <x v="168"/>
  </r>
  <r>
    <x v="1"/>
    <x v="2"/>
    <x v="1"/>
    <x v="1"/>
    <x v="169"/>
  </r>
  <r>
    <x v="1"/>
    <x v="2"/>
    <x v="2"/>
    <x v="1"/>
    <x v="170"/>
  </r>
  <r>
    <x v="1"/>
    <x v="2"/>
    <x v="3"/>
    <x v="1"/>
    <x v="171"/>
  </r>
  <r>
    <x v="1"/>
    <x v="2"/>
    <x v="4"/>
    <x v="1"/>
    <x v="172"/>
  </r>
  <r>
    <x v="1"/>
    <x v="2"/>
    <x v="5"/>
    <x v="1"/>
    <x v="173"/>
  </r>
  <r>
    <x v="1"/>
    <x v="2"/>
    <x v="0"/>
    <x v="2"/>
    <x v="174"/>
  </r>
  <r>
    <x v="1"/>
    <x v="2"/>
    <x v="1"/>
    <x v="2"/>
    <x v="175"/>
  </r>
  <r>
    <x v="1"/>
    <x v="2"/>
    <x v="2"/>
    <x v="2"/>
    <x v="176"/>
  </r>
  <r>
    <x v="1"/>
    <x v="2"/>
    <x v="3"/>
    <x v="2"/>
    <x v="177"/>
  </r>
  <r>
    <x v="1"/>
    <x v="2"/>
    <x v="4"/>
    <x v="2"/>
    <x v="178"/>
  </r>
  <r>
    <x v="1"/>
    <x v="2"/>
    <x v="5"/>
    <x v="2"/>
    <x v="179"/>
  </r>
  <r>
    <x v="2"/>
    <x v="2"/>
    <x v="0"/>
    <x v="0"/>
    <x v="180"/>
  </r>
  <r>
    <x v="2"/>
    <x v="2"/>
    <x v="1"/>
    <x v="0"/>
    <x v="181"/>
  </r>
  <r>
    <x v="2"/>
    <x v="2"/>
    <x v="2"/>
    <x v="0"/>
    <x v="182"/>
  </r>
  <r>
    <x v="2"/>
    <x v="2"/>
    <x v="3"/>
    <x v="0"/>
    <x v="183"/>
  </r>
  <r>
    <x v="2"/>
    <x v="2"/>
    <x v="4"/>
    <x v="0"/>
    <x v="184"/>
  </r>
  <r>
    <x v="2"/>
    <x v="2"/>
    <x v="5"/>
    <x v="0"/>
    <x v="185"/>
  </r>
  <r>
    <x v="2"/>
    <x v="2"/>
    <x v="0"/>
    <x v="1"/>
    <x v="186"/>
  </r>
  <r>
    <x v="2"/>
    <x v="2"/>
    <x v="1"/>
    <x v="1"/>
    <x v="187"/>
  </r>
  <r>
    <x v="2"/>
    <x v="2"/>
    <x v="2"/>
    <x v="1"/>
    <x v="188"/>
  </r>
  <r>
    <x v="2"/>
    <x v="2"/>
    <x v="3"/>
    <x v="1"/>
    <x v="189"/>
  </r>
  <r>
    <x v="2"/>
    <x v="2"/>
    <x v="4"/>
    <x v="1"/>
    <x v="190"/>
  </r>
  <r>
    <x v="2"/>
    <x v="2"/>
    <x v="5"/>
    <x v="1"/>
    <x v="191"/>
  </r>
  <r>
    <x v="2"/>
    <x v="2"/>
    <x v="0"/>
    <x v="2"/>
    <x v="192"/>
  </r>
  <r>
    <x v="2"/>
    <x v="2"/>
    <x v="1"/>
    <x v="2"/>
    <x v="193"/>
  </r>
  <r>
    <x v="2"/>
    <x v="2"/>
    <x v="2"/>
    <x v="2"/>
    <x v="194"/>
  </r>
  <r>
    <x v="2"/>
    <x v="2"/>
    <x v="3"/>
    <x v="2"/>
    <x v="195"/>
  </r>
  <r>
    <x v="2"/>
    <x v="2"/>
    <x v="4"/>
    <x v="2"/>
    <x v="196"/>
  </r>
  <r>
    <x v="2"/>
    <x v="2"/>
    <x v="5"/>
    <x v="2"/>
    <x v="197"/>
  </r>
  <r>
    <x v="3"/>
    <x v="2"/>
    <x v="0"/>
    <x v="0"/>
    <x v="198"/>
  </r>
  <r>
    <x v="3"/>
    <x v="2"/>
    <x v="1"/>
    <x v="0"/>
    <x v="199"/>
  </r>
  <r>
    <x v="3"/>
    <x v="2"/>
    <x v="2"/>
    <x v="0"/>
    <x v="200"/>
  </r>
  <r>
    <x v="3"/>
    <x v="2"/>
    <x v="3"/>
    <x v="0"/>
    <x v="201"/>
  </r>
  <r>
    <x v="3"/>
    <x v="2"/>
    <x v="4"/>
    <x v="0"/>
    <x v="202"/>
  </r>
  <r>
    <x v="3"/>
    <x v="2"/>
    <x v="5"/>
    <x v="0"/>
    <x v="203"/>
  </r>
  <r>
    <x v="3"/>
    <x v="2"/>
    <x v="0"/>
    <x v="1"/>
    <x v="204"/>
  </r>
  <r>
    <x v="3"/>
    <x v="2"/>
    <x v="1"/>
    <x v="1"/>
    <x v="205"/>
  </r>
  <r>
    <x v="3"/>
    <x v="2"/>
    <x v="2"/>
    <x v="1"/>
    <x v="206"/>
  </r>
  <r>
    <x v="3"/>
    <x v="2"/>
    <x v="3"/>
    <x v="1"/>
    <x v="207"/>
  </r>
  <r>
    <x v="3"/>
    <x v="2"/>
    <x v="4"/>
    <x v="1"/>
    <x v="208"/>
  </r>
  <r>
    <x v="3"/>
    <x v="2"/>
    <x v="5"/>
    <x v="1"/>
    <x v="209"/>
  </r>
  <r>
    <x v="3"/>
    <x v="2"/>
    <x v="0"/>
    <x v="2"/>
    <x v="210"/>
  </r>
  <r>
    <x v="3"/>
    <x v="2"/>
    <x v="1"/>
    <x v="2"/>
    <x v="211"/>
  </r>
  <r>
    <x v="3"/>
    <x v="2"/>
    <x v="2"/>
    <x v="2"/>
    <x v="212"/>
  </r>
  <r>
    <x v="3"/>
    <x v="2"/>
    <x v="3"/>
    <x v="2"/>
    <x v="213"/>
  </r>
  <r>
    <x v="3"/>
    <x v="2"/>
    <x v="4"/>
    <x v="2"/>
    <x v="214"/>
  </r>
  <r>
    <x v="3"/>
    <x v="2"/>
    <x v="5"/>
    <x v="2"/>
    <x v="2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464F0-DFDF-4150-B765-06794D604EC4}" name="PivotTable4" cacheId="986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I41:M43" firstHeaderRow="1" firstDataRow="2" firstDataCol="1" rowPageCount="1" colPageCount="1"/>
  <pivotFields count="5">
    <pivotField axis="axisPage" compact="0" outline="0" showAll="0">
      <items count="5">
        <item h="1" x="0"/>
        <item h="1" x="1"/>
        <item h="1" x="2"/>
        <item x="3"/>
        <item t="default"/>
      </items>
    </pivotField>
    <pivotField compact="0" outline="0" showAll="0"/>
    <pivotField axis="axisCol" compact="0" outline="0" showAll="0">
      <items count="7">
        <item h="1" x="0"/>
        <item h="1" x="1"/>
        <item h="1" x="2"/>
        <item x="3"/>
        <item x="4"/>
        <item x="5"/>
        <item t="default"/>
      </items>
    </pivotField>
    <pivotField compact="0" outline="0" showAll="0"/>
    <pivotField dataField="1" compact="0" numFmtId="171" outline="0" showAll="0"/>
  </pivotFields>
  <rowItems count="1">
    <i/>
  </rowItems>
  <colFields count="1">
    <field x="2"/>
  </colFields>
  <colItems count="4">
    <i>
      <x v="3"/>
    </i>
    <i>
      <x v="4"/>
    </i>
    <i>
      <x v="5"/>
    </i>
    <i t="grand">
      <x/>
    </i>
  </colItems>
  <pageFields count="1">
    <pageField fld="0" item="3" hier="-1"/>
  </pageFields>
  <dataFields count="1">
    <dataField name="Sum of Sales $" fld="4" baseField="0" baseItem="0" numFmtId="177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E4B0BA-EB25-41BF-832A-C4CEB2626815}" name="PivotTable3" cacheId="98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I29:N35" firstHeaderRow="1" firstDataRow="3" firstDataCol="2"/>
  <pivotFields count="5">
    <pivotField axis="axisRow" compact="0" outline="0" showAll="0">
      <items count="5">
        <item x="0"/>
        <item x="1"/>
        <item x="2"/>
        <item x="3"/>
        <item t="default"/>
      </items>
    </pivotField>
    <pivotField axis="axisRow" compact="0" outline="0" multipleItemSelectionAllowed="1" showAll="0" defaultSubtotal="0">
      <items count="3">
        <item h="1" x="0"/>
        <item x="1"/>
        <item h="1" x="2"/>
      </items>
    </pivotField>
    <pivotField compact="0" outline="0" showAll="0"/>
    <pivotField axis="axisCol" compact="0" outline="0" showAll="0">
      <items count="4">
        <item x="0"/>
        <item h="1" x="1"/>
        <item x="2"/>
        <item t="default"/>
      </items>
    </pivotField>
    <pivotField dataField="1" compact="0" numFmtId="171" outline="0" showAll="0">
      <items count="217">
        <item x="204"/>
        <item x="24"/>
        <item x="62"/>
        <item x="133"/>
        <item x="64"/>
        <item x="7"/>
        <item x="60"/>
        <item x="208"/>
        <item x="63"/>
        <item x="131"/>
        <item x="61"/>
        <item x="186"/>
        <item x="29"/>
        <item x="26"/>
        <item x="10"/>
        <item x="209"/>
        <item x="23"/>
        <item x="136"/>
        <item x="168"/>
        <item x="130"/>
        <item x="65"/>
        <item x="8"/>
        <item x="25"/>
        <item x="207"/>
        <item x="171"/>
        <item x="9"/>
        <item x="80"/>
        <item x="132"/>
        <item x="69"/>
        <item x="67"/>
        <item x="100"/>
        <item x="78"/>
        <item x="206"/>
        <item x="27"/>
        <item x="46"/>
        <item x="151"/>
        <item x="101"/>
        <item x="169"/>
        <item x="44"/>
        <item x="152"/>
        <item x="137"/>
        <item x="22"/>
        <item x="205"/>
        <item x="96"/>
        <item x="58"/>
        <item x="187"/>
        <item x="114"/>
        <item x="170"/>
        <item x="188"/>
        <item x="191"/>
        <item x="40"/>
        <item x="202"/>
        <item x="79"/>
        <item x="115"/>
        <item x="116"/>
        <item x="68"/>
        <item x="81"/>
        <item x="11"/>
        <item x="203"/>
        <item x="98"/>
        <item x="173"/>
        <item x="135"/>
        <item x="59"/>
        <item x="19"/>
        <item x="134"/>
        <item x="215"/>
        <item x="118"/>
        <item x="5"/>
        <item x="112"/>
        <item x="43"/>
        <item x="47"/>
        <item x="45"/>
        <item x="97"/>
        <item x="28"/>
        <item x="106"/>
        <item x="3"/>
        <item x="56"/>
        <item x="6"/>
        <item x="154"/>
        <item x="149"/>
        <item x="166"/>
        <item x="153"/>
        <item x="155"/>
        <item x="167"/>
        <item x="42"/>
        <item x="104"/>
        <item x="160"/>
        <item x="172"/>
        <item x="89"/>
        <item x="113"/>
        <item x="150"/>
        <item x="35"/>
        <item x="190"/>
        <item x="82"/>
        <item x="14"/>
        <item x="41"/>
        <item x="53"/>
        <item x="127"/>
        <item x="76"/>
        <item x="119"/>
        <item x="55"/>
        <item x="37"/>
        <item x="4"/>
        <item x="181"/>
        <item x="32"/>
        <item x="48"/>
        <item x="99"/>
        <item x="139"/>
        <item x="211"/>
        <item x="73"/>
        <item x="70"/>
        <item x="17"/>
        <item x="12"/>
        <item x="148"/>
        <item x="213"/>
        <item x="141"/>
        <item x="201"/>
        <item x="13"/>
        <item x="198"/>
        <item x="66"/>
        <item x="126"/>
        <item x="93"/>
        <item x="72"/>
        <item x="212"/>
        <item x="138"/>
        <item x="94"/>
        <item x="143"/>
        <item x="214"/>
        <item x="54"/>
        <item x="34"/>
        <item x="125"/>
        <item x="71"/>
        <item x="199"/>
        <item x="38"/>
        <item x="49"/>
        <item x="184"/>
        <item x="200"/>
        <item x="185"/>
        <item x="210"/>
        <item x="57"/>
        <item x="83"/>
        <item x="88"/>
        <item x="105"/>
        <item x="90"/>
        <item x="91"/>
        <item x="31"/>
        <item x="21"/>
        <item x="122"/>
        <item x="140"/>
        <item x="142"/>
        <item x="95"/>
        <item x="1"/>
        <item x="75"/>
        <item x="85"/>
        <item x="74"/>
        <item x="117"/>
        <item x="103"/>
        <item x="36"/>
        <item x="18"/>
        <item x="189"/>
        <item x="180"/>
        <item x="16"/>
        <item x="174"/>
        <item x="0"/>
        <item x="77"/>
        <item x="33"/>
        <item x="163"/>
        <item x="102"/>
        <item x="176"/>
        <item x="128"/>
        <item x="178"/>
        <item x="120"/>
        <item x="129"/>
        <item x="146"/>
        <item x="87"/>
        <item x="121"/>
        <item x="51"/>
        <item x="86"/>
        <item x="50"/>
        <item x="182"/>
        <item x="2"/>
        <item x="157"/>
        <item x="158"/>
        <item x="20"/>
        <item x="110"/>
        <item x="92"/>
        <item x="193"/>
        <item x="159"/>
        <item x="84"/>
        <item x="164"/>
        <item x="108"/>
        <item x="179"/>
        <item x="161"/>
        <item x="30"/>
        <item x="177"/>
        <item x="52"/>
        <item x="15"/>
        <item x="175"/>
        <item x="147"/>
        <item x="39"/>
        <item x="109"/>
        <item x="162"/>
        <item x="192"/>
        <item x="156"/>
        <item x="144"/>
        <item x="145"/>
        <item x="124"/>
        <item x="196"/>
        <item x="111"/>
        <item x="197"/>
        <item x="195"/>
        <item x="107"/>
        <item x="183"/>
        <item x="194"/>
        <item x="123"/>
        <item x="165"/>
        <item t="default"/>
      </items>
    </pivotField>
  </pivotFields>
  <rowFields count="2">
    <field x="1"/>
    <field x="0"/>
  </rowFields>
  <rowItems count="4">
    <i>
      <x v="1"/>
      <x/>
    </i>
    <i r="1">
      <x v="1"/>
    </i>
    <i r="1">
      <x v="2"/>
    </i>
    <i r="1">
      <x v="3"/>
    </i>
  </rowItems>
  <colFields count="2">
    <field x="3"/>
    <field x="-2"/>
  </colFields>
  <colItems count="4">
    <i>
      <x/>
      <x/>
    </i>
    <i r="1" i="1">
      <x v="1"/>
    </i>
    <i>
      <x v="2"/>
      <x/>
    </i>
    <i r="1" i="1">
      <x v="1"/>
    </i>
  </colItems>
  <dataFields count="2">
    <dataField name="Sum of Sales $" fld="4" baseField="0" baseItem="0"/>
    <dataField name="Average of Sales" fld="4" subtotal="average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E92D6B-9A9F-4166-B97B-599B004AB9EA}" name="PivotTable1" cacheId="986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I8:K13" firstHeaderRow="1" firstDataRow="2" firstDataCol="1"/>
  <pivotFields count="5">
    <pivotField compact="0" outline="0" showAll="0">
      <items count="5">
        <item x="0"/>
        <item x="1"/>
        <item x="2"/>
        <item x="3"/>
        <item t="default"/>
      </items>
    </pivotField>
    <pivotField axis="axisCol" compact="0" outline="0" showAll="0">
      <items count="4">
        <item h="1" x="0"/>
        <item h="1" x="1"/>
        <item x="2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axis="axisRow" compact="0" outline="0" showAll="0">
      <items count="4">
        <item x="0"/>
        <item x="1"/>
        <item x="2"/>
        <item t="default"/>
      </items>
    </pivotField>
    <pivotField dataField="1" compact="0" numFmtId="171" outline="0"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2">
    <i>
      <x v="2"/>
    </i>
    <i t="grand">
      <x/>
    </i>
  </colItems>
  <dataFields count="1">
    <dataField name="Sum of Sales $" fld="4" baseField="0" baseItem="0"/>
  </dataFields>
  <formats count="3">
    <format dxfId="4">
      <pivotArea field="1" grandRow="1" outline="0" axis="axisCol" fieldPosition="0">
        <references count="1">
          <reference field="1" count="0" selected="0"/>
        </references>
      </pivotArea>
    </format>
    <format dxfId="5">
      <pivotArea grandRow="1" grandCol="1" outline="0" collapsedLevelsAreSubtotals="1" fieldPosition="0"/>
    </format>
    <format dxfId="6">
      <pivotArea outline="0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538837-31DC-4BB8-9352-E943ABBDBB93}" name="PivotTable2" cacheId="986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I17:M25" firstHeaderRow="1" firstDataRow="2" firstDataCol="1" rowPageCount="2" colPageCount="1"/>
  <pivotFields count="5">
    <pivotField axis="axisPage" compact="0" outline="0" multipleItemSelectionAllowed="1" showAll="0">
      <items count="5">
        <item x="0"/>
        <item h="1" x="1"/>
        <item h="1" x="2"/>
        <item h="1" x="3"/>
        <item t="default"/>
      </items>
    </pivotField>
    <pivotField axis="axisPage" compact="0" outline="0" multipleItemSelectionAllowed="1" showAll="0">
      <items count="4">
        <item h="1" x="0"/>
        <item sd="0" x="1"/>
        <item h="1" x="2"/>
        <item t="default"/>
      </items>
    </pivotField>
    <pivotField axis="axisRow" compact="0" outline="0" showAll="0">
      <items count="7">
        <item x="0"/>
        <item x="1"/>
        <item x="2"/>
        <item x="3"/>
        <item x="4"/>
        <item x="5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dataField="1" compact="0" numFmtId="171" outline="0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pageFields count="2">
    <pageField fld="1" hier="-1"/>
    <pageField fld="0" hier="-1"/>
  </pageFields>
  <dataFields count="1">
    <dataField name="Average of Sales $" fld="4" subtotal="average" baseField="0" baseItem="0"/>
  </dataFields>
  <formats count="4">
    <format dxfId="0">
      <pivotArea outline="0" fieldPosition="0">
        <references count="2">
          <reference field="0" count="0" selected="0"/>
          <reference field="1" count="0" selected="0"/>
        </references>
      </pivotArea>
    </format>
    <format dxfId="1">
      <pivotArea outline="0" fieldPosition="0">
        <references count="1">
          <reference field="1" count="0" selected="0" defaultSubtotal="1"/>
        </references>
      </pivotArea>
    </format>
    <format dxfId="2">
      <pivotArea grandRow="1" outline="0" collapsedLevelsAreSubtotals="1" fieldPosition="0"/>
    </format>
    <format dxfId="3">
      <pivotArea field="1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0.png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333399"/>
  </sheetPr>
  <dimension ref="A4:AMJ31"/>
  <sheetViews>
    <sheetView showGridLines="0" zoomScale="80" zoomScaleNormal="80" workbookViewId="0"/>
  </sheetViews>
  <sheetFormatPr defaultColWidth="9" defaultRowHeight="15"/>
  <cols>
    <col min="1" max="1" width="9" style="5"/>
    <col min="2" max="2" width="6.75" style="5" customWidth="1"/>
    <col min="3" max="1024" width="9" style="5"/>
  </cols>
  <sheetData>
    <row r="4" spans="2:3" ht="17.45">
      <c r="B4" s="6"/>
    </row>
    <row r="5" spans="2:3" ht="17.45">
      <c r="B5" s="7"/>
    </row>
    <row r="6" spans="2:3" ht="17.45">
      <c r="B6" s="8" t="s">
        <v>0</v>
      </c>
    </row>
    <row r="7" spans="2:3" ht="17.45">
      <c r="B7" s="9"/>
    </row>
    <row r="9" spans="2:3" ht="15.6">
      <c r="B9" s="10" t="s">
        <v>1</v>
      </c>
    </row>
    <row r="10" spans="2:3">
      <c r="C10" s="11" t="s">
        <v>2</v>
      </c>
    </row>
    <row r="11" spans="2:3" ht="15.6">
      <c r="C11" s="11" t="s">
        <v>3</v>
      </c>
    </row>
    <row r="12" spans="2:3">
      <c r="C12" s="11" t="s">
        <v>4</v>
      </c>
    </row>
    <row r="13" spans="2:3">
      <c r="C13" s="11" t="s">
        <v>5</v>
      </c>
    </row>
    <row r="14" spans="2:3">
      <c r="C14" s="5" t="s">
        <v>6</v>
      </c>
    </row>
    <row r="15" spans="2:3">
      <c r="C15" s="11" t="s">
        <v>7</v>
      </c>
    </row>
    <row r="16" spans="2:3">
      <c r="C16" s="11" t="s">
        <v>8</v>
      </c>
    </row>
    <row r="17" spans="2:3">
      <c r="C17" s="11" t="s">
        <v>9</v>
      </c>
    </row>
    <row r="18" spans="2:3">
      <c r="C18" s="11" t="s">
        <v>10</v>
      </c>
    </row>
    <row r="19" spans="2:3">
      <c r="C19" s="11"/>
    </row>
    <row r="20" spans="2:3" ht="16.149999999999999">
      <c r="C20" s="12" t="s">
        <v>11</v>
      </c>
    </row>
    <row r="24" spans="2:3" ht="15.6">
      <c r="B24" s="13"/>
    </row>
    <row r="31" spans="2:3">
      <c r="B31" s="14"/>
    </row>
  </sheetData>
  <pageMargins left="0.75" right="0.75" top="1" bottom="1" header="0.51180555555555496" footer="0.51180555555555496"/>
  <pageSetup firstPageNumber="0" orientation="portrait" horizontalDpi="300" verticalDpi="300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MJ223"/>
  <sheetViews>
    <sheetView showGridLines="0" topLeftCell="A26" zoomScale="80" zoomScaleNormal="80" workbookViewId="0">
      <selection activeCell="J46" sqref="J46"/>
    </sheetView>
  </sheetViews>
  <sheetFormatPr defaultColWidth="9" defaultRowHeight="14.45"/>
  <cols>
    <col min="1" max="1" width="9" style="15"/>
    <col min="2" max="2" width="9.5" style="15" customWidth="1"/>
    <col min="3" max="3" width="10.125" style="15" customWidth="1"/>
    <col min="4" max="4" width="10.75" style="15" customWidth="1"/>
    <col min="5" max="5" width="12" style="15" customWidth="1"/>
    <col min="6" max="6" width="11.125" style="15" customWidth="1"/>
    <col min="7" max="7" width="9.75" style="15" customWidth="1"/>
    <col min="8" max="8" width="10.625" style="15" customWidth="1"/>
    <col min="9" max="9" width="10.75" style="15" customWidth="1"/>
    <col min="10" max="10" width="11.125" style="15" customWidth="1"/>
    <col min="11" max="1024" width="9" style="15"/>
  </cols>
  <sheetData>
    <row r="2" spans="2:15">
      <c r="B2" s="16"/>
    </row>
    <row r="3" spans="2:15">
      <c r="B3" s="16" t="s">
        <v>12</v>
      </c>
    </row>
    <row r="4" spans="2:15" ht="22.15">
      <c r="C4" s="17"/>
      <c r="D4" s="17"/>
    </row>
    <row r="5" spans="2:15" ht="16.149999999999999">
      <c r="C5" s="18"/>
      <c r="D5" s="18"/>
      <c r="F5" s="19"/>
    </row>
    <row r="6" spans="2:15" ht="21">
      <c r="B6" s="20" t="s">
        <v>13</v>
      </c>
    </row>
    <row r="7" spans="2:15" ht="15.6">
      <c r="B7" s="21" t="s">
        <v>14</v>
      </c>
    </row>
    <row r="9" spans="2:15" ht="35.25" customHeight="1">
      <c r="B9" s="22" t="s">
        <v>15</v>
      </c>
      <c r="C9" s="22" t="s">
        <v>16</v>
      </c>
      <c r="D9" s="22" t="s">
        <v>17</v>
      </c>
      <c r="E9" s="23" t="s">
        <v>18</v>
      </c>
      <c r="F9" s="23" t="s">
        <v>19</v>
      </c>
      <c r="G9" s="23" t="s">
        <v>20</v>
      </c>
      <c r="H9" s="22" t="s">
        <v>21</v>
      </c>
      <c r="I9" s="23" t="s">
        <v>22</v>
      </c>
      <c r="J9" s="22" t="s">
        <v>23</v>
      </c>
      <c r="M9" s="15" t="s">
        <v>16</v>
      </c>
      <c r="N9" s="15" t="s">
        <v>24</v>
      </c>
      <c r="O9" s="15" t="s">
        <v>22</v>
      </c>
    </row>
    <row r="10" spans="2:15" ht="13.9">
      <c r="B10" s="24">
        <v>1</v>
      </c>
      <c r="C10" s="25" t="s">
        <v>25</v>
      </c>
      <c r="D10" s="25" t="s">
        <v>26</v>
      </c>
      <c r="E10" s="26">
        <v>41456</v>
      </c>
      <c r="F10" s="27">
        <v>0.375</v>
      </c>
      <c r="G10" s="27">
        <v>0.70833333333333304</v>
      </c>
      <c r="H10" s="28">
        <f>(G10-F10)*24</f>
        <v>7.9999999999999929</v>
      </c>
      <c r="I10" s="29">
        <f>VLOOKUP(C10,$M$10:$O$12,3)</f>
        <v>200</v>
      </c>
      <c r="J10" s="30">
        <f>H10*I10*24</f>
        <v>38399.999999999971</v>
      </c>
      <c r="M10" s="15" t="s">
        <v>25</v>
      </c>
      <c r="N10" s="15" t="s">
        <v>27</v>
      </c>
      <c r="O10" s="31">
        <v>200</v>
      </c>
    </row>
    <row r="11" spans="2:15" ht="13.9">
      <c r="B11" s="24">
        <v>2</v>
      </c>
      <c r="C11" s="25" t="s">
        <v>28</v>
      </c>
      <c r="D11" s="25" t="s">
        <v>29</v>
      </c>
      <c r="E11" s="26">
        <v>41462</v>
      </c>
      <c r="F11" s="27">
        <v>0.35416666666666702</v>
      </c>
      <c r="G11" s="27">
        <v>0.6875</v>
      </c>
      <c r="H11" s="28">
        <f>(G11-F11)*24</f>
        <v>7.9999999999999911</v>
      </c>
      <c r="I11" s="29">
        <f>VLOOKUP(C11,$M$10:$O$12,3)</f>
        <v>150</v>
      </c>
      <c r="J11" s="32">
        <f>H11*I11*24</f>
        <v>28799.999999999967</v>
      </c>
      <c r="M11" s="15" t="s">
        <v>28</v>
      </c>
      <c r="N11" s="15" t="s">
        <v>30</v>
      </c>
      <c r="O11" s="31">
        <v>150</v>
      </c>
    </row>
    <row r="12" spans="2:15" ht="13.9">
      <c r="B12" s="24">
        <v>2</v>
      </c>
      <c r="C12" s="25" t="s">
        <v>28</v>
      </c>
      <c r="D12" s="25" t="s">
        <v>31</v>
      </c>
      <c r="E12" s="26">
        <v>41461</v>
      </c>
      <c r="F12" s="27">
        <v>0.35416666666666702</v>
      </c>
      <c r="G12" s="27">
        <v>0.6875</v>
      </c>
      <c r="H12" s="28">
        <f>(G12-F12)*24</f>
        <v>7.9999999999999911</v>
      </c>
      <c r="I12" s="29">
        <f>VLOOKUP(C12,$M$10:$O$12,3)</f>
        <v>150</v>
      </c>
      <c r="J12" s="32">
        <f>H12*I12*24</f>
        <v>28799.999999999967</v>
      </c>
      <c r="M12" s="15" t="s">
        <v>32</v>
      </c>
      <c r="N12" s="15" t="s">
        <v>33</v>
      </c>
      <c r="O12" s="31">
        <v>95</v>
      </c>
    </row>
    <row r="13" spans="2:15" ht="13.9">
      <c r="B13" s="24">
        <v>3</v>
      </c>
      <c r="C13" s="25" t="s">
        <v>32</v>
      </c>
      <c r="D13" s="25" t="s">
        <v>34</v>
      </c>
      <c r="E13" s="26">
        <v>41462</v>
      </c>
      <c r="F13" s="27">
        <v>0.35416666666666702</v>
      </c>
      <c r="G13" s="27">
        <v>0.6875</v>
      </c>
      <c r="H13" s="28">
        <f>(G13-F13)*24</f>
        <v>7.9999999999999911</v>
      </c>
      <c r="I13" s="29">
        <f>VLOOKUP(C13,$M$10:$O$12,3)</f>
        <v>95</v>
      </c>
      <c r="J13" s="32">
        <f>H13*I13*24</f>
        <v>18239.999999999982</v>
      </c>
    </row>
    <row r="14" spans="2:15" ht="13.9">
      <c r="B14" s="24">
        <v>3</v>
      </c>
      <c r="C14" s="25" t="s">
        <v>32</v>
      </c>
      <c r="D14" s="25" t="s">
        <v>35</v>
      </c>
      <c r="E14" s="26">
        <v>41461</v>
      </c>
      <c r="F14" s="27">
        <v>0.35416666666666702</v>
      </c>
      <c r="G14" s="27">
        <v>0.6875</v>
      </c>
      <c r="H14" s="28">
        <f>(G14-F14)*24</f>
        <v>7.9999999999999911</v>
      </c>
      <c r="I14" s="29">
        <f>VLOOKUP(C14,$M$10:$O$12,3)</f>
        <v>95</v>
      </c>
      <c r="J14" s="32">
        <f>H14*I14*24</f>
        <v>18239.999999999982</v>
      </c>
    </row>
    <row r="15" spans="2:15" ht="13.9">
      <c r="B15" s="24">
        <v>4</v>
      </c>
      <c r="C15" s="25" t="s">
        <v>32</v>
      </c>
      <c r="D15" s="25" t="s">
        <v>36</v>
      </c>
      <c r="E15" s="26">
        <v>41467</v>
      </c>
      <c r="F15" s="27">
        <v>0.35416666666666702</v>
      </c>
      <c r="G15" s="27">
        <v>0.6875</v>
      </c>
      <c r="H15" s="28">
        <f>(G15-F15)*24</f>
        <v>7.9999999999999911</v>
      </c>
      <c r="I15" s="29">
        <f>VLOOKUP(C15,$M$10:$O$12,3)</f>
        <v>95</v>
      </c>
      <c r="J15" s="32">
        <f>H15*I15*24</f>
        <v>18239.999999999982</v>
      </c>
    </row>
    <row r="16" spans="2:15" ht="13.9">
      <c r="B16" s="24">
        <v>4</v>
      </c>
      <c r="C16" s="25" t="s">
        <v>32</v>
      </c>
      <c r="D16" s="25" t="s">
        <v>37</v>
      </c>
      <c r="E16" s="26">
        <v>41468</v>
      </c>
      <c r="F16" s="27">
        <v>0.35416666666666702</v>
      </c>
      <c r="G16" s="27">
        <v>0.70833333333333304</v>
      </c>
      <c r="H16" s="28">
        <f>(G16-F16)*24</f>
        <v>8.499999999999984</v>
      </c>
      <c r="I16" s="29">
        <f>VLOOKUP(C16,$M$10:$O$12,3)</f>
        <v>95</v>
      </c>
      <c r="J16" s="32">
        <f>H16*I16*24</f>
        <v>19379.999999999964</v>
      </c>
    </row>
    <row r="17" spans="2:10" ht="13.9">
      <c r="B17" s="24">
        <v>4</v>
      </c>
      <c r="C17" s="25" t="s">
        <v>32</v>
      </c>
      <c r="D17" s="25" t="s">
        <v>26</v>
      </c>
      <c r="E17" s="26">
        <v>41469</v>
      </c>
      <c r="F17" s="27">
        <v>0.35416666666666702</v>
      </c>
      <c r="G17" s="27">
        <v>0.70833333333333304</v>
      </c>
      <c r="H17" s="28">
        <f>(G17-F17)*24</f>
        <v>8.499999999999984</v>
      </c>
      <c r="I17" s="29">
        <f>VLOOKUP(C17,$M$10:$O$12,3)</f>
        <v>95</v>
      </c>
      <c r="J17" s="32">
        <f>H17*I17*24</f>
        <v>19379.999999999964</v>
      </c>
    </row>
    <row r="18" spans="2:10" ht="13.9">
      <c r="B18" s="24">
        <v>4</v>
      </c>
      <c r="C18" s="25" t="s">
        <v>32</v>
      </c>
      <c r="D18" s="25" t="s">
        <v>29</v>
      </c>
      <c r="E18" s="26">
        <v>41472</v>
      </c>
      <c r="F18" s="27">
        <v>0.45833333333333298</v>
      </c>
      <c r="G18" s="27">
        <v>0.6875</v>
      </c>
      <c r="H18" s="28">
        <f>(G18-F18)*24</f>
        <v>5.5000000000000089</v>
      </c>
      <c r="I18" s="29">
        <f>VLOOKUP(C18,$M$10:$O$12,3)</f>
        <v>95</v>
      </c>
      <c r="J18" s="32">
        <f>H18*I18*24</f>
        <v>12540.000000000018</v>
      </c>
    </row>
    <row r="19" spans="2:10" ht="13.9">
      <c r="B19" s="24">
        <v>4</v>
      </c>
      <c r="C19" s="25" t="s">
        <v>32</v>
      </c>
      <c r="D19" s="25" t="s">
        <v>31</v>
      </c>
      <c r="E19" s="26">
        <v>41472</v>
      </c>
      <c r="F19" s="27">
        <v>0.35416666666666702</v>
      </c>
      <c r="G19" s="27">
        <v>0.75</v>
      </c>
      <c r="H19" s="28">
        <f>(G19-F19)*24</f>
        <v>9.4999999999999911</v>
      </c>
      <c r="I19" s="29">
        <f>VLOOKUP(C19,$M$10:$O$12,3)</f>
        <v>95</v>
      </c>
      <c r="J19" s="32">
        <f>H19*I19*24</f>
        <v>21659.999999999982</v>
      </c>
    </row>
    <row r="20" spans="2:10" ht="13.9">
      <c r="B20" s="24">
        <v>5</v>
      </c>
      <c r="C20" s="25" t="s">
        <v>25</v>
      </c>
      <c r="D20" s="25" t="s">
        <v>34</v>
      </c>
      <c r="E20" s="26">
        <v>41465</v>
      </c>
      <c r="F20" s="27">
        <v>0.4375</v>
      </c>
      <c r="G20" s="27">
        <v>0.75</v>
      </c>
      <c r="H20" s="28">
        <f>(G20-F20)*24</f>
        <v>7.5</v>
      </c>
      <c r="I20" s="29">
        <f>VLOOKUP(C20,$M$10:$O$12,3)</f>
        <v>200</v>
      </c>
      <c r="J20" s="32">
        <f>H20*I20*24</f>
        <v>36000</v>
      </c>
    </row>
    <row r="21" spans="2:10" ht="13.9">
      <c r="B21" s="24">
        <v>5</v>
      </c>
      <c r="C21" s="25" t="s">
        <v>25</v>
      </c>
      <c r="D21" s="25" t="s">
        <v>35</v>
      </c>
      <c r="E21" s="26">
        <v>41466</v>
      </c>
      <c r="F21" s="27">
        <v>0.35416666666666702</v>
      </c>
      <c r="G21" s="27">
        <v>0.70833333333333304</v>
      </c>
      <c r="H21" s="28">
        <f>(G21-F21)*24</f>
        <v>8.499999999999984</v>
      </c>
      <c r="I21" s="29">
        <f>VLOOKUP(C21,$M$10:$O$12,3)</f>
        <v>200</v>
      </c>
      <c r="J21" s="32">
        <f>H21*I21*24</f>
        <v>40799.999999999927</v>
      </c>
    </row>
    <row r="22" spans="2:10" ht="13.9">
      <c r="B22" s="24">
        <v>6</v>
      </c>
      <c r="C22" s="25" t="s">
        <v>32</v>
      </c>
      <c r="D22" s="25" t="s">
        <v>36</v>
      </c>
      <c r="E22" s="26">
        <v>41472</v>
      </c>
      <c r="F22" s="27">
        <v>0.35416666666666702</v>
      </c>
      <c r="G22" s="27">
        <v>0.72916666666666696</v>
      </c>
      <c r="H22" s="28">
        <f>(G22-F22)*24</f>
        <v>8.9999999999999982</v>
      </c>
      <c r="I22" s="29">
        <f>VLOOKUP(C22,$M$10:$O$12,3)</f>
        <v>95</v>
      </c>
      <c r="J22" s="32">
        <f>H22*I22*24</f>
        <v>20519.999999999996</v>
      </c>
    </row>
    <row r="23" spans="2:10" ht="13.9">
      <c r="B23" s="24">
        <v>6</v>
      </c>
      <c r="C23" s="25" t="s">
        <v>32</v>
      </c>
      <c r="D23" s="25" t="s">
        <v>37</v>
      </c>
      <c r="E23" s="26">
        <v>41472</v>
      </c>
      <c r="F23" s="27">
        <v>0.35416666666666702</v>
      </c>
      <c r="G23" s="27">
        <v>0.75</v>
      </c>
      <c r="H23" s="28">
        <f>(G23-F23)*24</f>
        <v>9.4999999999999911</v>
      </c>
      <c r="I23" s="29">
        <f>VLOOKUP(C23,$M$10:$O$12,3)</f>
        <v>95</v>
      </c>
      <c r="J23" s="32">
        <f>H23*I23*24</f>
        <v>21659.999999999982</v>
      </c>
    </row>
    <row r="24" spans="2:10" ht="13.9">
      <c r="B24" s="24">
        <v>7</v>
      </c>
      <c r="C24" s="25" t="s">
        <v>28</v>
      </c>
      <c r="D24" s="25" t="s">
        <v>38</v>
      </c>
      <c r="E24" s="26">
        <v>41466</v>
      </c>
      <c r="F24" s="27">
        <v>0.35416666666666702</v>
      </c>
      <c r="G24" s="27">
        <v>0.58333333333333304</v>
      </c>
      <c r="H24" s="28">
        <f>(G24-F24)*24</f>
        <v>5.499999999999984</v>
      </c>
      <c r="I24" s="29">
        <f>VLOOKUP(C24,$M$10:$O$12,3)</f>
        <v>150</v>
      </c>
      <c r="J24" s="32">
        <f>H24*I24*24</f>
        <v>19799.999999999942</v>
      </c>
    </row>
    <row r="25" spans="2:10" ht="13.9">
      <c r="B25" s="24">
        <v>7</v>
      </c>
      <c r="C25" s="25" t="s">
        <v>28</v>
      </c>
      <c r="D25" s="25" t="s">
        <v>39</v>
      </c>
      <c r="E25" s="26">
        <v>41467</v>
      </c>
      <c r="F25" s="27">
        <v>0.35416666666666702</v>
      </c>
      <c r="G25" s="27">
        <v>0.61458333333333304</v>
      </c>
      <c r="H25" s="28">
        <f>(G25-F25)*24</f>
        <v>6.249999999999984</v>
      </c>
      <c r="I25" s="29">
        <f>VLOOKUP(C25,$M$10:$O$12,3)</f>
        <v>150</v>
      </c>
      <c r="J25" s="32">
        <f>H25*I25*24</f>
        <v>22499.999999999942</v>
      </c>
    </row>
    <row r="26" spans="2:10" ht="13.9">
      <c r="B26" s="24">
        <v>8</v>
      </c>
      <c r="C26" s="25" t="s">
        <v>28</v>
      </c>
      <c r="D26" s="25" t="s">
        <v>40</v>
      </c>
      <c r="E26" s="26">
        <v>41466</v>
      </c>
      <c r="F26" s="27">
        <v>0.54166666666666696</v>
      </c>
      <c r="G26" s="27">
        <v>0.70833333333333304</v>
      </c>
      <c r="H26" s="28">
        <f>(G26-F26)*24</f>
        <v>3.9999999999999858</v>
      </c>
      <c r="I26" s="29">
        <f>VLOOKUP(C26,$M$10:$O$12,3)</f>
        <v>150</v>
      </c>
      <c r="J26" s="32">
        <f>H26*I26*24</f>
        <v>14399.999999999949</v>
      </c>
    </row>
    <row r="27" spans="2:10" ht="13.9">
      <c r="B27" s="24">
        <v>8</v>
      </c>
      <c r="C27" s="25" t="s">
        <v>28</v>
      </c>
      <c r="D27" s="25" t="s">
        <v>38</v>
      </c>
      <c r="E27" s="26">
        <v>41467</v>
      </c>
      <c r="F27" s="27">
        <v>0.375</v>
      </c>
      <c r="G27" s="27">
        <v>0.73958333333333304</v>
      </c>
      <c r="H27" s="28">
        <f>(G27-F27)*24</f>
        <v>8.7499999999999929</v>
      </c>
      <c r="I27" s="29">
        <f>VLOOKUP(C27,$M$10:$O$12,3)</f>
        <v>150</v>
      </c>
      <c r="J27" s="32">
        <f>H27*I27*24</f>
        <v>31499.999999999971</v>
      </c>
    </row>
    <row r="28" spans="2:10" ht="13.9">
      <c r="B28" s="24">
        <v>9</v>
      </c>
      <c r="C28" s="25" t="s">
        <v>25</v>
      </c>
      <c r="D28" s="25" t="s">
        <v>39</v>
      </c>
      <c r="E28" s="26">
        <v>41472</v>
      </c>
      <c r="F28" s="27">
        <v>0.41666666666666702</v>
      </c>
      <c r="G28" s="27">
        <v>0.75</v>
      </c>
      <c r="H28" s="28">
        <f>(G28-F28)*24</f>
        <v>7.9999999999999911</v>
      </c>
      <c r="I28" s="29">
        <f>VLOOKUP(C28,$M$10:$O$12,3)</f>
        <v>200</v>
      </c>
      <c r="J28" s="32">
        <f>H28*I28*24</f>
        <v>38399.999999999956</v>
      </c>
    </row>
    <row r="29" spans="2:10" ht="13.9">
      <c r="B29" s="24">
        <v>9</v>
      </c>
      <c r="C29" s="25" t="s">
        <v>25</v>
      </c>
      <c r="D29" s="25" t="s">
        <v>34</v>
      </c>
      <c r="E29" s="26">
        <v>41471</v>
      </c>
      <c r="F29" s="27">
        <v>0.35416666666666702</v>
      </c>
      <c r="G29" s="27">
        <v>0.625</v>
      </c>
      <c r="H29" s="28">
        <f>(G29-F29)*24</f>
        <v>6.4999999999999911</v>
      </c>
      <c r="I29" s="29">
        <f>VLOOKUP(C29,$M$10:$O$12,3)</f>
        <v>200</v>
      </c>
      <c r="J29" s="32">
        <f>H29*I29*24</f>
        <v>31199.999999999956</v>
      </c>
    </row>
    <row r="30" spans="2:10" ht="13.9">
      <c r="B30" s="24">
        <v>10</v>
      </c>
      <c r="C30" s="25" t="s">
        <v>32</v>
      </c>
      <c r="D30" s="25" t="s">
        <v>35</v>
      </c>
      <c r="E30" s="26">
        <v>41473</v>
      </c>
      <c r="F30" s="27">
        <v>0.35416666666666702</v>
      </c>
      <c r="G30" s="27">
        <v>0.66666666666666696</v>
      </c>
      <c r="H30" s="28">
        <f>(G30-F30)*24</f>
        <v>7.4999999999999982</v>
      </c>
      <c r="I30" s="29">
        <f>VLOOKUP(C30,$M$10:$O$12,3)</f>
        <v>95</v>
      </c>
      <c r="J30" s="32">
        <f>H30*I30*24</f>
        <v>17099.999999999996</v>
      </c>
    </row>
    <row r="31" spans="2:10" ht="13.9">
      <c r="B31" s="24">
        <v>10</v>
      </c>
      <c r="C31" s="25" t="s">
        <v>32</v>
      </c>
      <c r="D31" s="25" t="s">
        <v>36</v>
      </c>
      <c r="E31" s="26">
        <v>41474</v>
      </c>
      <c r="F31" s="27">
        <v>0.41666666666666702</v>
      </c>
      <c r="G31" s="27">
        <v>0.5</v>
      </c>
      <c r="H31" s="28">
        <f>(G31-F31)*24</f>
        <v>1.9999999999999916</v>
      </c>
      <c r="I31" s="29">
        <f>VLOOKUP(C31,$M$10:$O$12,3)</f>
        <v>95</v>
      </c>
      <c r="J31" s="32">
        <f>H31*I31*24</f>
        <v>4559.9999999999809</v>
      </c>
    </row>
    <row r="32" spans="2:10" ht="13.9">
      <c r="B32" s="24">
        <v>11</v>
      </c>
      <c r="C32" s="25" t="s">
        <v>25</v>
      </c>
      <c r="D32" s="25" t="s">
        <v>37</v>
      </c>
      <c r="E32" s="26">
        <v>41467</v>
      </c>
      <c r="F32" s="27">
        <v>0.33333333333333298</v>
      </c>
      <c r="G32" s="27">
        <v>0.5</v>
      </c>
      <c r="H32" s="28">
        <f>(G32-F32)*24</f>
        <v>4.0000000000000089</v>
      </c>
      <c r="I32" s="29">
        <f>VLOOKUP(C32,$M$10:$O$12,3)</f>
        <v>200</v>
      </c>
      <c r="J32" s="32">
        <f>H32*I32*24</f>
        <v>19200.000000000044</v>
      </c>
    </row>
    <row r="33" spans="2:10" ht="13.9">
      <c r="B33" s="24">
        <v>11</v>
      </c>
      <c r="C33" s="25" t="s">
        <v>25</v>
      </c>
      <c r="D33" s="25" t="s">
        <v>38</v>
      </c>
      <c r="E33" s="26">
        <v>41469</v>
      </c>
      <c r="F33" s="27">
        <v>0.375</v>
      </c>
      <c r="G33" s="27">
        <v>0.75</v>
      </c>
      <c r="H33" s="28">
        <f>(G33-F33)*24</f>
        <v>9</v>
      </c>
      <c r="I33" s="29">
        <f>VLOOKUP(C33,$M$10:$O$12,3)</f>
        <v>200</v>
      </c>
      <c r="J33" s="32">
        <f>H33*I33*24</f>
        <v>43200</v>
      </c>
    </row>
    <row r="34" spans="2:10" ht="13.9">
      <c r="B34" s="24">
        <v>11</v>
      </c>
      <c r="C34" s="25" t="s">
        <v>25</v>
      </c>
      <c r="D34" s="25" t="s">
        <v>31</v>
      </c>
      <c r="E34" s="26">
        <v>41472</v>
      </c>
      <c r="F34" s="27">
        <v>0.36458333333333298</v>
      </c>
      <c r="G34" s="27">
        <v>0.70833333333333304</v>
      </c>
      <c r="H34" s="28">
        <f>(G34-F34)*24</f>
        <v>8.2500000000000018</v>
      </c>
      <c r="I34" s="29">
        <f>VLOOKUP(C34,$M$10:$O$12,3)</f>
        <v>200</v>
      </c>
      <c r="J34" s="32">
        <f>H34*I34*24</f>
        <v>39600.000000000015</v>
      </c>
    </row>
    <row r="35" spans="2:10" ht="13.9">
      <c r="B35" s="24">
        <v>11</v>
      </c>
      <c r="C35" s="25" t="s">
        <v>25</v>
      </c>
      <c r="D35" s="25" t="s">
        <v>34</v>
      </c>
      <c r="E35" s="26">
        <v>41473</v>
      </c>
      <c r="F35" s="27">
        <v>0.29166666666666702</v>
      </c>
      <c r="G35" s="27">
        <v>0.70833333333333304</v>
      </c>
      <c r="H35" s="28">
        <f>(G35-F35)*24</f>
        <v>9.999999999999984</v>
      </c>
      <c r="I35" s="29">
        <f>VLOOKUP(C35,$M$10:$O$12,3)</f>
        <v>200</v>
      </c>
      <c r="J35" s="32">
        <f>H35*I35*24</f>
        <v>47999.999999999927</v>
      </c>
    </row>
    <row r="36" spans="2:10" ht="13.9">
      <c r="B36" s="24">
        <v>11</v>
      </c>
      <c r="C36" s="25" t="s">
        <v>25</v>
      </c>
      <c r="D36" s="25" t="s">
        <v>35</v>
      </c>
      <c r="E36" s="26">
        <v>41476</v>
      </c>
      <c r="F36" s="27">
        <v>0.45833333333333298</v>
      </c>
      <c r="G36" s="27">
        <v>0.58333333333333304</v>
      </c>
      <c r="H36" s="28">
        <f>(G36-F36)*24</f>
        <v>3.0000000000000013</v>
      </c>
      <c r="I36" s="29">
        <f>VLOOKUP(C36,$M$10:$O$12,3)</f>
        <v>200</v>
      </c>
      <c r="J36" s="32">
        <f>H36*I36*24</f>
        <v>14400.000000000005</v>
      </c>
    </row>
    <row r="37" spans="2:10" ht="13.9">
      <c r="B37" s="24">
        <v>12</v>
      </c>
      <c r="C37" s="25" t="s">
        <v>28</v>
      </c>
      <c r="D37" s="25" t="s">
        <v>36</v>
      </c>
      <c r="E37" s="26">
        <v>41475</v>
      </c>
      <c r="F37" s="27">
        <v>0.4375</v>
      </c>
      <c r="G37" s="27">
        <v>0.66666666666666696</v>
      </c>
      <c r="H37" s="28">
        <f>(G37-F37)*24</f>
        <v>5.5000000000000071</v>
      </c>
      <c r="I37" s="29">
        <f>VLOOKUP(C37,$M$10:$O$12,3)</f>
        <v>150</v>
      </c>
      <c r="J37" s="32">
        <f>H37*I37*24</f>
        <v>19800.000000000025</v>
      </c>
    </row>
    <row r="38" spans="2:10" ht="13.9">
      <c r="B38" s="24">
        <v>12</v>
      </c>
      <c r="C38" s="25" t="s">
        <v>28</v>
      </c>
      <c r="D38" s="25" t="s">
        <v>37</v>
      </c>
      <c r="E38" s="26">
        <v>41477</v>
      </c>
      <c r="F38" s="27">
        <v>0.35416666666666702</v>
      </c>
      <c r="G38" s="27">
        <v>0.6875</v>
      </c>
      <c r="H38" s="28">
        <f>(G38-F38)*24</f>
        <v>7.9999999999999911</v>
      </c>
      <c r="I38" s="29">
        <f>VLOOKUP(C38,$M$10:$O$12,3)</f>
        <v>150</v>
      </c>
      <c r="J38" s="32">
        <f>H38*I38*24</f>
        <v>28799.999999999967</v>
      </c>
    </row>
    <row r="39" spans="2:10" ht="13.9">
      <c r="B39" s="24">
        <v>13</v>
      </c>
      <c r="C39" s="25" t="s">
        <v>28</v>
      </c>
      <c r="D39" s="25" t="s">
        <v>34</v>
      </c>
      <c r="E39" s="26">
        <v>41472</v>
      </c>
      <c r="F39" s="27">
        <v>0.35416666666666702</v>
      </c>
      <c r="G39" s="27">
        <v>0.73958333333333304</v>
      </c>
      <c r="H39" s="28">
        <f>(G39-F39)*24</f>
        <v>9.249999999999984</v>
      </c>
      <c r="I39" s="29">
        <f>VLOOKUP(C39,$M$10:$O$12,3)</f>
        <v>150</v>
      </c>
      <c r="J39" s="32">
        <f>H39*I39*24</f>
        <v>33299.999999999942</v>
      </c>
    </row>
    <row r="40" spans="2:10" ht="13.9">
      <c r="B40" s="24">
        <v>14</v>
      </c>
      <c r="C40" s="25" t="s">
        <v>32</v>
      </c>
      <c r="D40" s="25" t="s">
        <v>35</v>
      </c>
      <c r="E40" s="26">
        <v>41467</v>
      </c>
      <c r="F40" s="27">
        <v>0.35416666666666702</v>
      </c>
      <c r="G40" s="27">
        <v>0.75</v>
      </c>
      <c r="H40" s="28">
        <f>(G40-F40)*24</f>
        <v>9.4999999999999911</v>
      </c>
      <c r="I40" s="29">
        <f>VLOOKUP(C40,$M$10:$O$12,3)</f>
        <v>95</v>
      </c>
      <c r="J40" s="32">
        <f>H40*I40*24</f>
        <v>21659.999999999982</v>
      </c>
    </row>
    <row r="41" spans="2:10" ht="13.9">
      <c r="B41" s="24">
        <v>14</v>
      </c>
      <c r="C41" s="25" t="s">
        <v>32</v>
      </c>
      <c r="D41" s="25" t="s">
        <v>36</v>
      </c>
      <c r="E41" s="26">
        <v>41468</v>
      </c>
      <c r="F41" s="27">
        <v>0.35416666666666702</v>
      </c>
      <c r="G41" s="27">
        <v>0.83333333333333304</v>
      </c>
      <c r="H41" s="28">
        <f>(G41-F41)*24</f>
        <v>11.499999999999984</v>
      </c>
      <c r="I41" s="29">
        <f>VLOOKUP(C41,$M$10:$O$12,3)</f>
        <v>95</v>
      </c>
      <c r="J41" s="32">
        <f>H41*I41*24</f>
        <v>26219.999999999964</v>
      </c>
    </row>
    <row r="42" spans="2:10" ht="13.9">
      <c r="B42" s="24">
        <v>14</v>
      </c>
      <c r="C42" s="25" t="s">
        <v>32</v>
      </c>
      <c r="D42" s="25" t="s">
        <v>37</v>
      </c>
      <c r="E42" s="26">
        <v>41472</v>
      </c>
      <c r="F42" s="27">
        <v>0.375</v>
      </c>
      <c r="G42" s="27">
        <v>0.70833333333333304</v>
      </c>
      <c r="H42" s="28">
        <f>(G42-F42)*24</f>
        <v>7.9999999999999929</v>
      </c>
      <c r="I42" s="29">
        <f>VLOOKUP(C42,$M$10:$O$12,3)</f>
        <v>95</v>
      </c>
      <c r="J42" s="32">
        <f>H42*I42*24</f>
        <v>18239.999999999985</v>
      </c>
    </row>
    <row r="43" spans="2:10" ht="13.9">
      <c r="B43" s="24">
        <v>14</v>
      </c>
      <c r="C43" s="25" t="s">
        <v>32</v>
      </c>
      <c r="D43" s="25" t="s">
        <v>38</v>
      </c>
      <c r="E43" s="26">
        <v>41473</v>
      </c>
      <c r="F43" s="27">
        <v>0.41666666666666702</v>
      </c>
      <c r="G43" s="27">
        <v>0.75</v>
      </c>
      <c r="H43" s="28">
        <f>(G43-F43)*24</f>
        <v>7.9999999999999911</v>
      </c>
      <c r="I43" s="29">
        <f>VLOOKUP(C43,$M$10:$O$12,3)</f>
        <v>95</v>
      </c>
      <c r="J43" s="32">
        <f>H43*I43*24</f>
        <v>18239.999999999982</v>
      </c>
    </row>
    <row r="44" spans="2:10" ht="13.9">
      <c r="B44" s="24">
        <v>14</v>
      </c>
      <c r="C44" s="25" t="s">
        <v>32</v>
      </c>
      <c r="D44" s="25" t="s">
        <v>34</v>
      </c>
      <c r="E44" s="26">
        <v>41477</v>
      </c>
      <c r="F44" s="27">
        <v>0.45833333333333298</v>
      </c>
      <c r="G44" s="27">
        <v>0.625</v>
      </c>
      <c r="H44" s="28">
        <f>(G44-F44)*24</f>
        <v>4.0000000000000089</v>
      </c>
      <c r="I44" s="29">
        <f>VLOOKUP(C44,$M$10:$O$12,3)</f>
        <v>95</v>
      </c>
      <c r="J44" s="32">
        <f>H44*I44*24</f>
        <v>9120.00000000002</v>
      </c>
    </row>
    <row r="45" spans="2:10" ht="13.9">
      <c r="B45" s="24">
        <v>14</v>
      </c>
      <c r="C45" s="25" t="s">
        <v>32</v>
      </c>
      <c r="D45" s="25" t="s">
        <v>35</v>
      </c>
      <c r="E45" s="26">
        <v>41483</v>
      </c>
      <c r="F45" s="27">
        <v>0.33333333333333298</v>
      </c>
      <c r="G45" s="27">
        <v>0.66666666666666696</v>
      </c>
      <c r="H45" s="28">
        <f>(G45-F45)*24</f>
        <v>8.000000000000016</v>
      </c>
      <c r="I45" s="29">
        <f>VLOOKUP(C45,$M$10:$O$12,3)</f>
        <v>95</v>
      </c>
      <c r="J45" s="32">
        <f>H45*I45*24</f>
        <v>18240.000000000036</v>
      </c>
    </row>
    <row r="46" spans="2:10" ht="13.9">
      <c r="B46" s="24">
        <v>15</v>
      </c>
      <c r="C46" s="25" t="s">
        <v>25</v>
      </c>
      <c r="D46" s="25" t="s">
        <v>36</v>
      </c>
      <c r="E46" s="26">
        <v>41469</v>
      </c>
      <c r="F46" s="27">
        <v>0.35416666666666702</v>
      </c>
      <c r="G46" s="27">
        <v>0.75</v>
      </c>
      <c r="H46" s="28">
        <f>(G46-F46)*24</f>
        <v>9.4999999999999911</v>
      </c>
      <c r="I46" s="29">
        <f>VLOOKUP(C46,$M$10:$O$12,3)</f>
        <v>200</v>
      </c>
      <c r="J46" s="32">
        <f>H46*I46*24</f>
        <v>45599.999999999956</v>
      </c>
    </row>
    <row r="47" spans="2:10" ht="13.9">
      <c r="B47" s="24">
        <v>15</v>
      </c>
      <c r="C47" s="25" t="s">
        <v>25</v>
      </c>
      <c r="D47" s="25" t="s">
        <v>37</v>
      </c>
      <c r="E47" s="26">
        <v>41472</v>
      </c>
      <c r="F47" s="27">
        <v>0.54166666666666696</v>
      </c>
      <c r="G47" s="27">
        <v>0.79166666666666696</v>
      </c>
      <c r="H47" s="28">
        <f>(G47-F47)*24</f>
        <v>6</v>
      </c>
      <c r="I47" s="29">
        <f>VLOOKUP(C47,$M$10:$O$12,3)</f>
        <v>200</v>
      </c>
      <c r="J47" s="32">
        <f>H47*I47*24</f>
        <v>28800</v>
      </c>
    </row>
    <row r="48" spans="2:10" ht="13.9">
      <c r="B48" s="24">
        <v>16</v>
      </c>
      <c r="C48" s="25" t="s">
        <v>25</v>
      </c>
      <c r="D48" s="25" t="s">
        <v>38</v>
      </c>
      <c r="E48" s="26">
        <v>41473</v>
      </c>
      <c r="F48" s="27">
        <v>0.375</v>
      </c>
      <c r="G48" s="27">
        <v>0.66666666666666696</v>
      </c>
      <c r="H48" s="28">
        <f>(G48-F48)*24</f>
        <v>7.0000000000000071</v>
      </c>
      <c r="I48" s="29">
        <f>VLOOKUP(C48,$M$10:$O$12,3)</f>
        <v>200</v>
      </c>
      <c r="J48" s="32">
        <f>H48*I48*24</f>
        <v>33600.000000000029</v>
      </c>
    </row>
    <row r="49" spans="2:10" ht="13.9">
      <c r="B49" s="24">
        <v>16</v>
      </c>
      <c r="C49" s="25" t="s">
        <v>25</v>
      </c>
      <c r="D49" s="25" t="s">
        <v>26</v>
      </c>
      <c r="E49" s="26">
        <v>41474</v>
      </c>
      <c r="F49" s="27">
        <v>0.41666666666666702</v>
      </c>
      <c r="G49" s="27">
        <v>0.625</v>
      </c>
      <c r="H49" s="28">
        <f>(G49-F49)*24</f>
        <v>4.9999999999999911</v>
      </c>
      <c r="I49" s="29">
        <f>VLOOKUP(C49,$M$10:$O$12,3)</f>
        <v>200</v>
      </c>
      <c r="J49" s="32">
        <f>H49*I49*24</f>
        <v>23999.999999999956</v>
      </c>
    </row>
    <row r="50" spans="2:10" ht="13.9">
      <c r="B50" s="24">
        <v>17</v>
      </c>
      <c r="C50" s="25" t="s">
        <v>28</v>
      </c>
      <c r="D50" s="25" t="s">
        <v>29</v>
      </c>
      <c r="E50" s="26">
        <v>41461</v>
      </c>
      <c r="F50" s="27">
        <v>0.35416666666666702</v>
      </c>
      <c r="G50" s="27">
        <v>0.58333333333333304</v>
      </c>
      <c r="H50" s="28">
        <f>(G50-F50)*24</f>
        <v>5.499999999999984</v>
      </c>
      <c r="I50" s="29">
        <f>VLOOKUP(C50,$M$10:$O$12,3)</f>
        <v>150</v>
      </c>
      <c r="J50" s="32">
        <f>H50*I50*24</f>
        <v>19799.999999999942</v>
      </c>
    </row>
    <row r="51" spans="2:10" ht="13.9">
      <c r="B51" s="24">
        <v>17</v>
      </c>
      <c r="C51" s="25" t="s">
        <v>28</v>
      </c>
      <c r="D51" s="25" t="s">
        <v>31</v>
      </c>
      <c r="E51" s="26">
        <v>41462</v>
      </c>
      <c r="F51" s="27">
        <v>0.35416666666666702</v>
      </c>
      <c r="G51" s="27">
        <v>0.61458333333333304</v>
      </c>
      <c r="H51" s="28">
        <f>(G51-F51)*24</f>
        <v>6.249999999999984</v>
      </c>
      <c r="I51" s="29">
        <f>VLOOKUP(C51,$M$10:$O$12,3)</f>
        <v>150</v>
      </c>
      <c r="J51" s="32">
        <f>H51*I51*24</f>
        <v>22499.999999999942</v>
      </c>
    </row>
    <row r="52" spans="2:10" ht="13.9">
      <c r="B52" s="24">
        <v>17</v>
      </c>
      <c r="C52" s="25" t="s">
        <v>28</v>
      </c>
      <c r="D52" s="25" t="s">
        <v>34</v>
      </c>
      <c r="E52" s="26">
        <v>41463</v>
      </c>
      <c r="F52" s="27">
        <v>0.35416666666666702</v>
      </c>
      <c r="G52" s="27">
        <v>0.61458333333333304</v>
      </c>
      <c r="H52" s="28">
        <f>(G52-F52)*24</f>
        <v>6.249999999999984</v>
      </c>
      <c r="I52" s="29">
        <f>VLOOKUP(C52,$M$10:$O$12,3)</f>
        <v>150</v>
      </c>
      <c r="J52" s="32">
        <f>H52*I52*24</f>
        <v>22499.999999999942</v>
      </c>
    </row>
    <row r="53" spans="2:10" ht="13.9">
      <c r="B53" s="24">
        <v>17</v>
      </c>
      <c r="C53" s="25" t="s">
        <v>28</v>
      </c>
      <c r="D53" s="25" t="s">
        <v>35</v>
      </c>
      <c r="E53" s="26">
        <v>41464</v>
      </c>
      <c r="F53" s="27">
        <v>0.35416666666666702</v>
      </c>
      <c r="G53" s="27">
        <v>0.625</v>
      </c>
      <c r="H53" s="28">
        <f>(G53-F53)*24</f>
        <v>6.4999999999999911</v>
      </c>
      <c r="I53" s="29">
        <f>VLOOKUP(C53,$M$10:$O$12,3)</f>
        <v>150</v>
      </c>
      <c r="J53" s="32">
        <f>H53*I53*24</f>
        <v>23399.999999999967</v>
      </c>
    </row>
    <row r="54" spans="2:10" ht="13.9">
      <c r="B54" s="24">
        <v>17</v>
      </c>
      <c r="C54" s="25" t="s">
        <v>28</v>
      </c>
      <c r="D54" s="25" t="s">
        <v>36</v>
      </c>
      <c r="E54" s="26">
        <v>41465</v>
      </c>
      <c r="F54" s="27">
        <v>0.35416666666666702</v>
      </c>
      <c r="G54" s="27">
        <v>0.70833333333333304</v>
      </c>
      <c r="H54" s="28">
        <f>(G54-F54)*24</f>
        <v>8.499999999999984</v>
      </c>
      <c r="I54" s="29">
        <f>VLOOKUP(C54,$M$10:$O$12,3)</f>
        <v>150</v>
      </c>
      <c r="J54" s="32">
        <f>H54*I54*24</f>
        <v>30599.999999999942</v>
      </c>
    </row>
    <row r="55" spans="2:10" ht="13.9">
      <c r="B55" s="24">
        <v>17</v>
      </c>
      <c r="C55" s="25" t="s">
        <v>28</v>
      </c>
      <c r="D55" s="25" t="s">
        <v>37</v>
      </c>
      <c r="E55" s="26">
        <v>41466</v>
      </c>
      <c r="F55" s="27">
        <v>0.35416666666666702</v>
      </c>
      <c r="G55" s="27">
        <v>0.61458333333333304</v>
      </c>
      <c r="H55" s="28">
        <f>(G55-F55)*24</f>
        <v>6.249999999999984</v>
      </c>
      <c r="I55" s="29">
        <f>VLOOKUP(C55,$M$10:$O$12,3)</f>
        <v>150</v>
      </c>
      <c r="J55" s="32">
        <f>H55*I55*24</f>
        <v>22499.999999999942</v>
      </c>
    </row>
    <row r="56" spans="2:10" ht="13.9">
      <c r="B56" s="24">
        <v>18</v>
      </c>
      <c r="C56" s="25" t="s">
        <v>32</v>
      </c>
      <c r="D56" s="25" t="s">
        <v>38</v>
      </c>
      <c r="E56" s="26">
        <v>41456</v>
      </c>
      <c r="F56" s="27">
        <v>0.45833333333333298</v>
      </c>
      <c r="G56" s="27">
        <v>0.70833333333333304</v>
      </c>
      <c r="H56" s="28">
        <f>(G56-F56)*24</f>
        <v>6.0000000000000018</v>
      </c>
      <c r="I56" s="29">
        <f>VLOOKUP(C56,$M$10:$O$12,3)</f>
        <v>95</v>
      </c>
      <c r="J56" s="32">
        <f>H56*I56*24</f>
        <v>13680.000000000004</v>
      </c>
    </row>
    <row r="57" spans="2:10" ht="13.9">
      <c r="B57" s="24">
        <v>18</v>
      </c>
      <c r="C57" s="25" t="s">
        <v>32</v>
      </c>
      <c r="D57" s="25" t="s">
        <v>39</v>
      </c>
      <c r="E57" s="26">
        <v>41458</v>
      </c>
      <c r="F57" s="27">
        <v>0.375</v>
      </c>
      <c r="G57" s="27">
        <v>0.625</v>
      </c>
      <c r="H57" s="28">
        <f>(G57-F57)*24</f>
        <v>6</v>
      </c>
      <c r="I57" s="29">
        <f>VLOOKUP(C57,$M$10:$O$12,3)</f>
        <v>95</v>
      </c>
      <c r="J57" s="32">
        <f>H57*I57*24</f>
        <v>13680</v>
      </c>
    </row>
    <row r="58" spans="2:10" ht="13.9">
      <c r="B58" s="24">
        <v>18</v>
      </c>
      <c r="C58" s="25" t="s">
        <v>32</v>
      </c>
      <c r="D58" s="25" t="s">
        <v>40</v>
      </c>
      <c r="E58" s="26">
        <v>41459</v>
      </c>
      <c r="F58" s="27">
        <v>0.36458333333333298</v>
      </c>
      <c r="G58" s="27">
        <v>0.66666666666666696</v>
      </c>
      <c r="H58" s="28">
        <f>(G58-F58)*24</f>
        <v>7.250000000000016</v>
      </c>
      <c r="I58" s="29">
        <f>VLOOKUP(C58,$M$10:$O$12,3)</f>
        <v>95</v>
      </c>
      <c r="J58" s="32">
        <f>H58*I58*24</f>
        <v>16530.000000000036</v>
      </c>
    </row>
    <row r="59" spans="2:10" ht="13.9">
      <c r="B59" s="24">
        <v>18</v>
      </c>
      <c r="C59" s="25" t="s">
        <v>32</v>
      </c>
      <c r="D59" s="25" t="s">
        <v>34</v>
      </c>
      <c r="E59" s="26">
        <v>41462</v>
      </c>
      <c r="F59" s="27">
        <v>0.4375</v>
      </c>
      <c r="G59" s="27">
        <v>0.75</v>
      </c>
      <c r="H59" s="28">
        <f>(G59-F59)*24</f>
        <v>7.5</v>
      </c>
      <c r="I59" s="29">
        <f>VLOOKUP(C59,$M$10:$O$12,3)</f>
        <v>95</v>
      </c>
      <c r="J59" s="32">
        <f>H59*I59*24</f>
        <v>17100</v>
      </c>
    </row>
    <row r="60" spans="2:10" ht="13.9">
      <c r="B60" s="24">
        <v>18</v>
      </c>
      <c r="C60" s="25" t="s">
        <v>32</v>
      </c>
      <c r="D60" s="25" t="s">
        <v>35</v>
      </c>
      <c r="E60" s="26">
        <v>41467</v>
      </c>
      <c r="F60" s="27">
        <v>0.35416666666666702</v>
      </c>
      <c r="G60" s="27">
        <v>0.625</v>
      </c>
      <c r="H60" s="28">
        <f>(G60-F60)*24</f>
        <v>6.4999999999999911</v>
      </c>
      <c r="I60" s="29">
        <f>VLOOKUP(C60,$M$10:$O$12,3)</f>
        <v>95</v>
      </c>
      <c r="J60" s="32">
        <f>H60*I60*24</f>
        <v>14819.999999999982</v>
      </c>
    </row>
    <row r="61" spans="2:10" ht="13.9">
      <c r="B61" s="24">
        <v>19</v>
      </c>
      <c r="C61" s="25" t="s">
        <v>28</v>
      </c>
      <c r="D61" s="25" t="s">
        <v>36</v>
      </c>
      <c r="E61" s="26">
        <v>41469</v>
      </c>
      <c r="F61" s="27">
        <v>0.35416666666666702</v>
      </c>
      <c r="G61" s="27">
        <v>0.64583333333333304</v>
      </c>
      <c r="H61" s="28">
        <f>(G61-F61)*24</f>
        <v>6.999999999999984</v>
      </c>
      <c r="I61" s="29">
        <f>VLOOKUP(C61,$M$10:$O$12,3)</f>
        <v>150</v>
      </c>
      <c r="J61" s="32">
        <f>H61*I61*24</f>
        <v>25199.999999999942</v>
      </c>
    </row>
    <row r="62" spans="2:10" ht="13.9">
      <c r="B62" s="24">
        <v>19</v>
      </c>
      <c r="C62" s="25" t="s">
        <v>28</v>
      </c>
      <c r="D62" s="25" t="s">
        <v>37</v>
      </c>
      <c r="E62" s="26">
        <v>41472</v>
      </c>
      <c r="F62" s="27">
        <v>0.54166666666666696</v>
      </c>
      <c r="G62" s="27">
        <v>0.625</v>
      </c>
      <c r="H62" s="28">
        <f>(G62-F62)*24</f>
        <v>1.9999999999999929</v>
      </c>
      <c r="I62" s="29">
        <f>VLOOKUP(C62,$M$10:$O$12,3)</f>
        <v>150</v>
      </c>
      <c r="J62" s="32">
        <f>H62*I62*24</f>
        <v>7199.9999999999745</v>
      </c>
    </row>
    <row r="63" spans="2:10" ht="13.9">
      <c r="B63" s="24">
        <v>20</v>
      </c>
      <c r="C63" s="25" t="s">
        <v>25</v>
      </c>
      <c r="D63" s="25" t="s">
        <v>38</v>
      </c>
      <c r="E63" s="26">
        <v>41478</v>
      </c>
      <c r="F63" s="27">
        <v>0.375</v>
      </c>
      <c r="G63" s="27">
        <v>0.65625</v>
      </c>
      <c r="H63" s="28">
        <f>(G63-F63)*24</f>
        <v>6.75</v>
      </c>
      <c r="I63" s="29">
        <f>VLOOKUP(C63,$M$10:$O$12,3)</f>
        <v>200</v>
      </c>
      <c r="J63" s="32">
        <f>H63*I63*24</f>
        <v>32400</v>
      </c>
    </row>
    <row r="64" spans="2:10" ht="13.9">
      <c r="B64" s="24">
        <v>20</v>
      </c>
      <c r="C64" s="25" t="s">
        <v>25</v>
      </c>
      <c r="D64" s="25" t="s">
        <v>35</v>
      </c>
      <c r="E64" s="26">
        <v>41479</v>
      </c>
      <c r="F64" s="27">
        <v>0.41666666666666702</v>
      </c>
      <c r="G64" s="27">
        <v>0.75</v>
      </c>
      <c r="H64" s="28">
        <f>(G64-F64)*24</f>
        <v>7.9999999999999911</v>
      </c>
      <c r="I64" s="29">
        <f>VLOOKUP(C64,$M$10:$O$12,3)</f>
        <v>200</v>
      </c>
      <c r="J64" s="32">
        <f>H64*I64*24</f>
        <v>38399.999999999956</v>
      </c>
    </row>
    <row r="65" spans="2:10" ht="13.9">
      <c r="B65" s="24">
        <v>21</v>
      </c>
      <c r="C65" s="25" t="s">
        <v>28</v>
      </c>
      <c r="D65" s="25" t="s">
        <v>36</v>
      </c>
      <c r="E65" s="26">
        <v>41477</v>
      </c>
      <c r="F65" s="27">
        <v>0.35416666666666702</v>
      </c>
      <c r="G65" s="27">
        <v>0.58333333333333304</v>
      </c>
      <c r="H65" s="28">
        <f>(G65-F65)*24</f>
        <v>5.499999999999984</v>
      </c>
      <c r="I65" s="29">
        <f>VLOOKUP(C65,$M$10:$O$12,3)</f>
        <v>150</v>
      </c>
      <c r="J65" s="32">
        <f>H65*I65*24</f>
        <v>19799.999999999942</v>
      </c>
    </row>
    <row r="66" spans="2:10" ht="13.9">
      <c r="B66" s="24">
        <v>21</v>
      </c>
      <c r="C66" s="25" t="s">
        <v>28</v>
      </c>
      <c r="D66" s="25" t="s">
        <v>37</v>
      </c>
      <c r="E66" s="26">
        <v>41478</v>
      </c>
      <c r="F66" s="27">
        <v>0.58333333333333304</v>
      </c>
      <c r="G66" s="27">
        <v>0.91666666666666696</v>
      </c>
      <c r="H66" s="28">
        <f>(G66-F66)*24</f>
        <v>8.0000000000000142</v>
      </c>
      <c r="I66" s="29">
        <f>VLOOKUP(C66,$M$10:$O$12,3)</f>
        <v>150</v>
      </c>
      <c r="J66" s="32">
        <f>H66*I66*24</f>
        <v>28800.000000000051</v>
      </c>
    </row>
    <row r="67" spans="2:10" ht="13.9">
      <c r="B67" s="24">
        <v>22</v>
      </c>
      <c r="C67" s="25" t="s">
        <v>28</v>
      </c>
      <c r="D67" s="25" t="s">
        <v>38</v>
      </c>
      <c r="E67" s="26">
        <v>41473</v>
      </c>
      <c r="F67" s="27">
        <v>0.5</v>
      </c>
      <c r="G67" s="27">
        <v>0.875</v>
      </c>
      <c r="H67" s="28">
        <f>(G67-F67)*24</f>
        <v>9</v>
      </c>
      <c r="I67" s="29">
        <f>VLOOKUP(C67,$M$10:$O$12,3)</f>
        <v>150</v>
      </c>
      <c r="J67" s="32">
        <f>H67*I67*24</f>
        <v>32400</v>
      </c>
    </row>
    <row r="68" spans="2:10" ht="13.9">
      <c r="B68" s="24">
        <v>23</v>
      </c>
      <c r="C68" s="25" t="s">
        <v>28</v>
      </c>
      <c r="D68" s="25" t="s">
        <v>34</v>
      </c>
      <c r="E68" s="26">
        <v>41473</v>
      </c>
      <c r="F68" s="27">
        <v>0.36458333333333298</v>
      </c>
      <c r="G68" s="27">
        <v>0.75</v>
      </c>
      <c r="H68" s="28">
        <f>(G68-F68)*24</f>
        <v>9.2500000000000089</v>
      </c>
      <c r="I68" s="29">
        <f>VLOOKUP(C68,$M$10:$O$12,3)</f>
        <v>150</v>
      </c>
      <c r="J68" s="32">
        <f>H68*I68*24</f>
        <v>33300.000000000029</v>
      </c>
    </row>
    <row r="69" spans="2:10" ht="13.9">
      <c r="B69" s="24">
        <v>24</v>
      </c>
      <c r="C69" s="25" t="s">
        <v>32</v>
      </c>
      <c r="D69" s="25" t="s">
        <v>35</v>
      </c>
      <c r="E69" s="26">
        <v>41474</v>
      </c>
      <c r="F69" s="27">
        <v>0.375</v>
      </c>
      <c r="G69" s="27">
        <v>0.58333333333333304</v>
      </c>
      <c r="H69" s="28">
        <f>(G69-F69)*24</f>
        <v>4.9999999999999929</v>
      </c>
      <c r="I69" s="29">
        <f>VLOOKUP(C69,$M$10:$O$12,3)</f>
        <v>95</v>
      </c>
      <c r="J69" s="32">
        <f>H69*I69*24</f>
        <v>11399.999999999984</v>
      </c>
    </row>
    <row r="70" spans="2:10" ht="13.9">
      <c r="B70" s="24">
        <v>24</v>
      </c>
      <c r="C70" s="25" t="s">
        <v>32</v>
      </c>
      <c r="D70" s="25" t="s">
        <v>36</v>
      </c>
      <c r="E70" s="26">
        <v>41475</v>
      </c>
      <c r="F70" s="27">
        <v>0.44791666666666702</v>
      </c>
      <c r="G70" s="27">
        <v>0.625</v>
      </c>
      <c r="H70" s="28">
        <f>(G70-F70)*24</f>
        <v>4.2499999999999911</v>
      </c>
      <c r="I70" s="29">
        <f>VLOOKUP(C70,$M$10:$O$12,3)</f>
        <v>95</v>
      </c>
      <c r="J70" s="32">
        <f>H70*I70*24</f>
        <v>9689.99999999998</v>
      </c>
    </row>
    <row r="71" spans="2:10" ht="13.9">
      <c r="B71" s="24">
        <v>25</v>
      </c>
      <c r="C71" s="25" t="s">
        <v>28</v>
      </c>
      <c r="D71" s="25" t="s">
        <v>37</v>
      </c>
      <c r="E71" s="26">
        <v>41477</v>
      </c>
      <c r="F71" s="27">
        <v>0.45833333333333298</v>
      </c>
      <c r="G71" s="27">
        <v>0.66666666666666696</v>
      </c>
      <c r="H71" s="28">
        <f>(G71-F71)*24</f>
        <v>5.000000000000016</v>
      </c>
      <c r="I71" s="29">
        <f>VLOOKUP(C71,$M$10:$O$12,3)</f>
        <v>150</v>
      </c>
      <c r="J71" s="32">
        <f>H71*I71*24</f>
        <v>18000.000000000058</v>
      </c>
    </row>
    <row r="72" spans="2:10" ht="13.9">
      <c r="B72" s="24">
        <v>25</v>
      </c>
      <c r="C72" s="25" t="s">
        <v>28</v>
      </c>
      <c r="D72" s="25" t="s">
        <v>38</v>
      </c>
      <c r="E72" s="26">
        <v>41479</v>
      </c>
      <c r="F72" s="27">
        <v>0.29166666666666702</v>
      </c>
      <c r="G72" s="27">
        <v>0.5</v>
      </c>
      <c r="H72" s="28">
        <f>(G72-F72)*24</f>
        <v>4.9999999999999911</v>
      </c>
      <c r="I72" s="29">
        <f>VLOOKUP(C72,$M$10:$O$12,3)</f>
        <v>150</v>
      </c>
      <c r="J72" s="32">
        <f>H72*I72*24</f>
        <v>17999.999999999967</v>
      </c>
    </row>
    <row r="73" spans="2:10" ht="13.9">
      <c r="B73" s="24">
        <v>26</v>
      </c>
      <c r="C73" s="25" t="s">
        <v>28</v>
      </c>
      <c r="D73" s="25" t="s">
        <v>31</v>
      </c>
      <c r="E73" s="26">
        <v>41483</v>
      </c>
      <c r="F73" s="27">
        <v>0.41666666666666702</v>
      </c>
      <c r="G73" s="27">
        <v>0.58333333333333304</v>
      </c>
      <c r="H73" s="28">
        <f>(G73-F73)*24</f>
        <v>3.9999999999999845</v>
      </c>
      <c r="I73" s="29">
        <f>VLOOKUP(C73,$M$10:$O$12,3)</f>
        <v>150</v>
      </c>
      <c r="J73" s="32">
        <f>H73*I73*24</f>
        <v>14399.999999999942</v>
      </c>
    </row>
    <row r="74" spans="2:10" ht="13.9">
      <c r="B74" s="24">
        <v>26</v>
      </c>
      <c r="C74" s="25" t="s">
        <v>28</v>
      </c>
      <c r="D74" s="25" t="s">
        <v>34</v>
      </c>
      <c r="E74" s="26">
        <v>41484</v>
      </c>
      <c r="F74" s="27">
        <v>0.28125</v>
      </c>
      <c r="G74" s="27">
        <v>0.66666666666666696</v>
      </c>
      <c r="H74" s="28">
        <f>(G74-F74)*24</f>
        <v>9.2500000000000071</v>
      </c>
      <c r="I74" s="29">
        <f>VLOOKUP(C74,$M$10:$O$12,3)</f>
        <v>150</v>
      </c>
      <c r="J74" s="32">
        <f>H74*I74*24</f>
        <v>33300.000000000029</v>
      </c>
    </row>
    <row r="75" spans="2:10" ht="13.9">
      <c r="B75" s="24">
        <v>27</v>
      </c>
      <c r="C75" s="25" t="s">
        <v>28</v>
      </c>
      <c r="D75" s="25" t="s">
        <v>35</v>
      </c>
      <c r="E75" s="26">
        <v>41484</v>
      </c>
      <c r="F75" s="27">
        <v>0.61458333333333304</v>
      </c>
      <c r="G75" s="27">
        <v>0.6875</v>
      </c>
      <c r="H75" s="28">
        <f>(G75-F75)*24</f>
        <v>1.7500000000000071</v>
      </c>
      <c r="I75" s="29">
        <f>VLOOKUP(C75,$M$10:$O$12,3)</f>
        <v>150</v>
      </c>
      <c r="J75" s="32">
        <f>H75*I75*24</f>
        <v>6300.0000000000255</v>
      </c>
    </row>
    <row r="76" spans="2:10" ht="13.9">
      <c r="B76" s="24">
        <v>28</v>
      </c>
      <c r="C76" s="25" t="s">
        <v>28</v>
      </c>
      <c r="D76" s="25" t="s">
        <v>36</v>
      </c>
      <c r="E76" s="26">
        <v>41484</v>
      </c>
      <c r="F76" s="27">
        <v>0.58333333333333304</v>
      </c>
      <c r="G76" s="27">
        <v>0.73958333333333304</v>
      </c>
      <c r="H76" s="28">
        <f>(G76-F76)*24</f>
        <v>3.75</v>
      </c>
      <c r="I76" s="29">
        <f>VLOOKUP(C76,$M$10:$O$12,3)</f>
        <v>150</v>
      </c>
      <c r="J76" s="32">
        <f>H76*I76*24</f>
        <v>13500</v>
      </c>
    </row>
    <row r="77" spans="2:10" ht="13.9">
      <c r="B77" s="24">
        <v>28</v>
      </c>
      <c r="C77" s="25" t="s">
        <v>28</v>
      </c>
      <c r="D77" s="25" t="s">
        <v>37</v>
      </c>
      <c r="E77" s="26">
        <v>41485</v>
      </c>
      <c r="F77" s="27">
        <v>0.5</v>
      </c>
      <c r="G77" s="27">
        <v>0.625</v>
      </c>
      <c r="H77" s="28">
        <f>(G77-F77)*24</f>
        <v>3</v>
      </c>
      <c r="I77" s="29">
        <f>VLOOKUP(C77,$M$10:$O$12,3)</f>
        <v>150</v>
      </c>
      <c r="J77" s="32">
        <f>H77*I77*24</f>
        <v>10800</v>
      </c>
    </row>
    <row r="78" spans="2:10" ht="13.9">
      <c r="B78" s="24">
        <v>29</v>
      </c>
      <c r="C78" s="25" t="s">
        <v>25</v>
      </c>
      <c r="D78" s="25" t="s">
        <v>38</v>
      </c>
      <c r="E78" s="26">
        <v>41473</v>
      </c>
      <c r="F78" s="27">
        <v>0.36458333333333298</v>
      </c>
      <c r="G78" s="27">
        <v>0.66666666666666696</v>
      </c>
      <c r="H78" s="28">
        <f>(G78-F78)*24</f>
        <v>7.250000000000016</v>
      </c>
      <c r="I78" s="29">
        <f>VLOOKUP(C78,$M$10:$O$12,3)</f>
        <v>200</v>
      </c>
      <c r="J78" s="32">
        <f>H78*I78*24</f>
        <v>34800.000000000073</v>
      </c>
    </row>
    <row r="79" spans="2:10" ht="13.9">
      <c r="B79" s="24">
        <v>29</v>
      </c>
      <c r="C79" s="25" t="s">
        <v>25</v>
      </c>
      <c r="D79" s="25" t="s">
        <v>26</v>
      </c>
      <c r="E79" s="26">
        <v>41474</v>
      </c>
      <c r="F79" s="27">
        <v>0.375</v>
      </c>
      <c r="G79" s="27">
        <v>0.5</v>
      </c>
      <c r="H79" s="28">
        <f>(G79-F79)*24</f>
        <v>3</v>
      </c>
      <c r="I79" s="29">
        <f>VLOOKUP(C79,$M$10:$O$12,3)</f>
        <v>200</v>
      </c>
      <c r="J79" s="32">
        <f>H79*I79*24</f>
        <v>14400</v>
      </c>
    </row>
    <row r="80" spans="2:10" ht="13.9">
      <c r="B80" s="24">
        <v>29</v>
      </c>
      <c r="C80" s="25" t="s">
        <v>25</v>
      </c>
      <c r="D80" s="25" t="s">
        <v>29</v>
      </c>
      <c r="E80" s="26">
        <v>41484</v>
      </c>
      <c r="F80" s="27">
        <v>0.35416666666666702</v>
      </c>
      <c r="G80" s="27">
        <v>0.75</v>
      </c>
      <c r="H80" s="28">
        <f>(G80-F80)*24</f>
        <v>9.4999999999999911</v>
      </c>
      <c r="I80" s="29">
        <f>VLOOKUP(C80,$M$10:$O$12,3)</f>
        <v>200</v>
      </c>
      <c r="J80" s="32">
        <f>H80*I80*24</f>
        <v>45599.999999999956</v>
      </c>
    </row>
    <row r="81" spans="2:10" ht="13.9">
      <c r="B81" s="24">
        <v>30</v>
      </c>
      <c r="C81" s="25" t="s">
        <v>25</v>
      </c>
      <c r="D81" s="25" t="s">
        <v>31</v>
      </c>
      <c r="E81" s="26">
        <v>41483</v>
      </c>
      <c r="F81" s="27">
        <v>0.44791666666666702</v>
      </c>
      <c r="G81" s="27">
        <v>0.58333333333333304</v>
      </c>
      <c r="H81" s="28">
        <f>(G81-F81)*24</f>
        <v>3.2499999999999845</v>
      </c>
      <c r="I81" s="29">
        <f>VLOOKUP(C81,$M$10:$O$12,3)</f>
        <v>200</v>
      </c>
      <c r="J81" s="32">
        <f>H81*I81*24</f>
        <v>15599.999999999927</v>
      </c>
    </row>
    <row r="82" spans="2:10" ht="13.9">
      <c r="B82" s="24">
        <v>30</v>
      </c>
      <c r="C82" s="25" t="s">
        <v>25</v>
      </c>
      <c r="D82" s="25" t="s">
        <v>34</v>
      </c>
      <c r="E82" s="26">
        <v>41484</v>
      </c>
      <c r="F82" s="27">
        <v>0.45833333333333298</v>
      </c>
      <c r="G82" s="27">
        <v>0.66666666666666696</v>
      </c>
      <c r="H82" s="28">
        <f>(G82-F82)*24</f>
        <v>5.000000000000016</v>
      </c>
      <c r="I82" s="29">
        <f>VLOOKUP(C82,$M$10:$O$12,3)</f>
        <v>200</v>
      </c>
      <c r="J82" s="32">
        <f>H82*I82*24</f>
        <v>24000.000000000076</v>
      </c>
    </row>
    <row r="83" spans="2:10" ht="13.9">
      <c r="B83" s="24">
        <v>31</v>
      </c>
      <c r="C83" s="25" t="s">
        <v>28</v>
      </c>
      <c r="D83" s="25" t="s">
        <v>35</v>
      </c>
      <c r="E83" s="26">
        <v>41471</v>
      </c>
      <c r="F83" s="27">
        <v>0.375</v>
      </c>
      <c r="G83" s="27">
        <v>0.6875</v>
      </c>
      <c r="H83" s="28">
        <f>(G83-F83)*24</f>
        <v>7.5</v>
      </c>
      <c r="I83" s="29">
        <f>VLOOKUP(C83,$M$10:$O$12,3)</f>
        <v>150</v>
      </c>
      <c r="J83" s="32">
        <f>H83*I83*24</f>
        <v>27000</v>
      </c>
    </row>
    <row r="84" spans="2:10" ht="13.9">
      <c r="B84" s="24">
        <v>31</v>
      </c>
      <c r="C84" s="25" t="s">
        <v>28</v>
      </c>
      <c r="D84" s="25" t="s">
        <v>36</v>
      </c>
      <c r="E84" s="26">
        <v>41472</v>
      </c>
      <c r="F84" s="27">
        <v>0.41666666666666702</v>
      </c>
      <c r="G84" s="27">
        <v>0.73958333333333304</v>
      </c>
      <c r="H84" s="28">
        <f>(G84-F84)*24</f>
        <v>7.749999999999984</v>
      </c>
      <c r="I84" s="29">
        <f>VLOOKUP(C84,$M$10:$O$12,3)</f>
        <v>150</v>
      </c>
      <c r="J84" s="32">
        <f>H84*I84*24</f>
        <v>27899.999999999942</v>
      </c>
    </row>
    <row r="85" spans="2:10" ht="13.9">
      <c r="B85" s="24">
        <v>32</v>
      </c>
      <c r="C85" s="25" t="s">
        <v>32</v>
      </c>
      <c r="D85" s="25" t="s">
        <v>37</v>
      </c>
      <c r="E85" s="26">
        <v>41473</v>
      </c>
      <c r="F85" s="27">
        <v>0.35416666666666702</v>
      </c>
      <c r="G85" s="27">
        <v>0.91666666666666696</v>
      </c>
      <c r="H85" s="28">
        <f>(G85-F85)*24</f>
        <v>13.5</v>
      </c>
      <c r="I85" s="29">
        <f>VLOOKUP(C85,$M$10:$O$12,3)</f>
        <v>95</v>
      </c>
      <c r="J85" s="32">
        <f>H85*I85*24</f>
        <v>30780</v>
      </c>
    </row>
    <row r="86" spans="2:10" ht="13.9">
      <c r="B86" s="24">
        <v>33</v>
      </c>
      <c r="C86" s="25" t="s">
        <v>25</v>
      </c>
      <c r="D86" s="25" t="s">
        <v>26</v>
      </c>
      <c r="E86" s="26">
        <v>41477</v>
      </c>
      <c r="F86" s="27">
        <v>0.35416666666666702</v>
      </c>
      <c r="G86" s="27">
        <v>0.875</v>
      </c>
      <c r="H86" s="28">
        <f>(G86-F86)*24</f>
        <v>12.499999999999993</v>
      </c>
      <c r="I86" s="29">
        <f>VLOOKUP(C86,$M$10:$O$12,3)</f>
        <v>200</v>
      </c>
      <c r="J86" s="32">
        <f>H86*I86*24</f>
        <v>59999.999999999971</v>
      </c>
    </row>
    <row r="87" spans="2:10" ht="13.9">
      <c r="B87" s="24">
        <v>33</v>
      </c>
      <c r="C87" s="25" t="s">
        <v>25</v>
      </c>
      <c r="D87" s="25" t="s">
        <v>29</v>
      </c>
      <c r="E87" s="26">
        <v>41478</v>
      </c>
      <c r="F87" s="27">
        <v>0.33333333333333298</v>
      </c>
      <c r="G87" s="27">
        <v>0.70833333333333304</v>
      </c>
      <c r="H87" s="28">
        <f>(G87-F87)*24</f>
        <v>9.0000000000000018</v>
      </c>
      <c r="I87" s="29">
        <f>VLOOKUP(C87,$M$10:$O$12,3)</f>
        <v>200</v>
      </c>
      <c r="J87" s="32">
        <f>H87*I87*24</f>
        <v>43200.000000000015</v>
      </c>
    </row>
    <row r="88" spans="2:10" ht="13.9">
      <c r="B88" s="24">
        <v>33</v>
      </c>
      <c r="C88" s="25" t="s">
        <v>25</v>
      </c>
      <c r="D88" s="25" t="s">
        <v>31</v>
      </c>
      <c r="E88" s="26">
        <v>41482</v>
      </c>
      <c r="F88" s="27">
        <v>0.33333333333333298</v>
      </c>
      <c r="G88" s="27">
        <v>0.75</v>
      </c>
      <c r="H88" s="28">
        <f>(G88-F88)*24</f>
        <v>10.000000000000009</v>
      </c>
      <c r="I88" s="29">
        <f>VLOOKUP(C88,$M$10:$O$12,3)</f>
        <v>200</v>
      </c>
      <c r="J88" s="32">
        <f>H88*I88*24</f>
        <v>48000.000000000044</v>
      </c>
    </row>
    <row r="89" spans="2:10" ht="13.9">
      <c r="B89" s="24">
        <v>33</v>
      </c>
      <c r="C89" s="25" t="s">
        <v>25</v>
      </c>
      <c r="D89" s="25" t="s">
        <v>34</v>
      </c>
      <c r="E89" s="26">
        <v>41483</v>
      </c>
      <c r="F89" s="27">
        <v>0.40625</v>
      </c>
      <c r="G89" s="27">
        <v>0.83333333333333304</v>
      </c>
      <c r="H89" s="28">
        <f>(G89-F89)*24</f>
        <v>10.249999999999993</v>
      </c>
      <c r="I89" s="29">
        <f>VLOOKUP(C89,$M$10:$O$12,3)</f>
        <v>200</v>
      </c>
      <c r="J89" s="32">
        <f>H89*I89*24</f>
        <v>49199.999999999971</v>
      </c>
    </row>
    <row r="90" spans="2:10" ht="13.9">
      <c r="B90" s="24">
        <v>33</v>
      </c>
      <c r="C90" s="25" t="s">
        <v>25</v>
      </c>
      <c r="D90" s="25" t="s">
        <v>35</v>
      </c>
      <c r="E90" s="26">
        <v>41484</v>
      </c>
      <c r="F90" s="27">
        <v>0.32291666666666702</v>
      </c>
      <c r="G90" s="27">
        <v>0.70833333333333304</v>
      </c>
      <c r="H90" s="28">
        <f>(G90-F90)*24</f>
        <v>9.249999999999984</v>
      </c>
      <c r="I90" s="29">
        <f>VLOOKUP(C90,$M$10:$O$12,3)</f>
        <v>200</v>
      </c>
      <c r="J90" s="32">
        <f>H90*I90*24</f>
        <v>44399.999999999927</v>
      </c>
    </row>
    <row r="91" spans="2:10" ht="13.9">
      <c r="B91" s="24">
        <v>33</v>
      </c>
      <c r="C91" s="25" t="s">
        <v>25</v>
      </c>
      <c r="D91" s="25" t="s">
        <v>36</v>
      </c>
      <c r="E91" s="26">
        <v>41486</v>
      </c>
      <c r="F91" s="27">
        <v>0.25</v>
      </c>
      <c r="G91" s="27">
        <v>0.625</v>
      </c>
      <c r="H91" s="28">
        <f>(G91-F91)*24</f>
        <v>9</v>
      </c>
      <c r="I91" s="29">
        <f>VLOOKUP(C91,$M$10:$O$12,3)</f>
        <v>200</v>
      </c>
      <c r="J91" s="32">
        <f>H91*I91*24</f>
        <v>43200</v>
      </c>
    </row>
    <row r="92" spans="2:10" ht="13.9">
      <c r="B92" s="24">
        <v>34</v>
      </c>
      <c r="C92" s="25" t="s">
        <v>25</v>
      </c>
      <c r="D92" s="25" t="s">
        <v>37</v>
      </c>
      <c r="E92" s="26">
        <v>41467</v>
      </c>
      <c r="F92" s="27">
        <v>0.25</v>
      </c>
      <c r="G92" s="27">
        <v>0.75</v>
      </c>
      <c r="H92" s="28">
        <f>(G92-F92)*24</f>
        <v>12</v>
      </c>
      <c r="I92" s="29">
        <f>VLOOKUP(C92,$M$10:$O$12,3)</f>
        <v>200</v>
      </c>
      <c r="J92" s="32">
        <f>H92*I92*24</f>
        <v>57600</v>
      </c>
    </row>
    <row r="93" spans="2:10" ht="13.9">
      <c r="B93" s="24">
        <v>34</v>
      </c>
      <c r="C93" s="25" t="s">
        <v>25</v>
      </c>
      <c r="D93" s="25" t="s">
        <v>38</v>
      </c>
      <c r="E93" s="26">
        <v>41468</v>
      </c>
      <c r="F93" s="27">
        <v>0.25</v>
      </c>
      <c r="G93" s="27">
        <v>0.75</v>
      </c>
      <c r="H93" s="28">
        <f>(G93-F93)*24</f>
        <v>12</v>
      </c>
      <c r="I93" s="29">
        <f>VLOOKUP(C93,$M$10:$O$12,3)</f>
        <v>200</v>
      </c>
      <c r="J93" s="32">
        <f>H93*I93*24</f>
        <v>57600</v>
      </c>
    </row>
    <row r="94" spans="2:10" ht="13.9">
      <c r="B94" s="24">
        <v>34</v>
      </c>
      <c r="C94" s="25" t="s">
        <v>25</v>
      </c>
      <c r="D94" s="25" t="s">
        <v>39</v>
      </c>
      <c r="E94" s="26">
        <v>41469</v>
      </c>
      <c r="F94" s="27">
        <v>0.25</v>
      </c>
      <c r="G94" s="27">
        <v>0.79166666666666696</v>
      </c>
      <c r="H94" s="28">
        <f>(G94-F94)*24</f>
        <v>13.000000000000007</v>
      </c>
      <c r="I94" s="29">
        <f>VLOOKUP(C94,$M$10:$O$12,3)</f>
        <v>200</v>
      </c>
      <c r="J94" s="32">
        <f>H94*I94*24</f>
        <v>62400.000000000029</v>
      </c>
    </row>
    <row r="95" spans="2:10" ht="13.9">
      <c r="B95" s="24">
        <v>34</v>
      </c>
      <c r="C95" s="25" t="s">
        <v>25</v>
      </c>
      <c r="D95" s="25" t="s">
        <v>40</v>
      </c>
      <c r="E95" s="26">
        <v>41485</v>
      </c>
      <c r="F95" s="27">
        <v>0.35416666666666702</v>
      </c>
      <c r="G95" s="27">
        <v>0.58333333333333304</v>
      </c>
      <c r="H95" s="28">
        <f>(G95-F95)*24</f>
        <v>5.499999999999984</v>
      </c>
      <c r="I95" s="29">
        <f>VLOOKUP(C95,$M$10:$O$12,3)</f>
        <v>200</v>
      </c>
      <c r="J95" s="32">
        <f>H95*I95*24</f>
        <v>26399.999999999924</v>
      </c>
    </row>
    <row r="96" spans="2:10" ht="13.9">
      <c r="B96" s="24">
        <v>34</v>
      </c>
      <c r="C96" s="25" t="s">
        <v>25</v>
      </c>
      <c r="D96" s="25" t="s">
        <v>34</v>
      </c>
      <c r="E96" s="26">
        <v>41486</v>
      </c>
      <c r="F96" s="27">
        <v>0.54166666666666696</v>
      </c>
      <c r="G96" s="27">
        <v>0.625</v>
      </c>
      <c r="H96" s="28">
        <f>(G96-F96)*24</f>
        <v>1.9999999999999929</v>
      </c>
      <c r="I96" s="29">
        <f>VLOOKUP(C96,$M$10:$O$12,3)</f>
        <v>200</v>
      </c>
      <c r="J96" s="32">
        <f>H96*I96*24</f>
        <v>9599.9999999999654</v>
      </c>
    </row>
    <row r="97" spans="2:10" ht="13.9">
      <c r="B97" s="24">
        <v>35</v>
      </c>
      <c r="C97" s="25" t="s">
        <v>28</v>
      </c>
      <c r="D97" s="25" t="s">
        <v>35</v>
      </c>
      <c r="E97" s="26">
        <v>41465</v>
      </c>
      <c r="F97" s="27">
        <v>0.375</v>
      </c>
      <c r="G97" s="27">
        <v>0.66666666666666696</v>
      </c>
      <c r="H97" s="28">
        <f>(G97-F97)*24</f>
        <v>7.0000000000000071</v>
      </c>
      <c r="I97" s="29">
        <f>VLOOKUP(C97,$M$10:$O$12,3)</f>
        <v>150</v>
      </c>
      <c r="J97" s="32">
        <f>H97*I97*24</f>
        <v>25200.000000000029</v>
      </c>
    </row>
    <row r="98" spans="2:10" ht="13.9">
      <c r="B98" s="24">
        <v>35</v>
      </c>
      <c r="C98" s="25" t="s">
        <v>28</v>
      </c>
      <c r="D98" s="25" t="s">
        <v>36</v>
      </c>
      <c r="E98" s="26">
        <v>41467</v>
      </c>
      <c r="F98" s="27">
        <v>0.375</v>
      </c>
      <c r="G98" s="27">
        <v>0.5</v>
      </c>
      <c r="H98" s="28">
        <f>(G98-F98)*24</f>
        <v>3</v>
      </c>
      <c r="I98" s="29">
        <f>VLOOKUP(C98,$M$10:$O$12,3)</f>
        <v>150</v>
      </c>
      <c r="J98" s="32">
        <f>H98*I98*24</f>
        <v>10800</v>
      </c>
    </row>
    <row r="99" spans="2:10" ht="13.9">
      <c r="B99" s="24">
        <v>36</v>
      </c>
      <c r="C99" s="25" t="s">
        <v>28</v>
      </c>
      <c r="D99" s="25" t="s">
        <v>37</v>
      </c>
      <c r="E99" s="26">
        <v>41469</v>
      </c>
      <c r="F99" s="27">
        <v>0.41666666666666702</v>
      </c>
      <c r="G99" s="27">
        <v>0.58333333333333304</v>
      </c>
      <c r="H99" s="28">
        <f>(G99-F99)*24</f>
        <v>3.9999999999999845</v>
      </c>
      <c r="I99" s="29">
        <f>VLOOKUP(C99,$M$10:$O$12,3)</f>
        <v>150</v>
      </c>
      <c r="J99" s="32">
        <f>H99*I99*24</f>
        <v>14399.999999999942</v>
      </c>
    </row>
    <row r="100" spans="2:10" ht="13.9">
      <c r="B100" s="24">
        <v>36</v>
      </c>
      <c r="C100" s="25" t="s">
        <v>28</v>
      </c>
      <c r="D100" s="25" t="s">
        <v>38</v>
      </c>
      <c r="E100" s="26">
        <v>41472</v>
      </c>
      <c r="F100" s="27">
        <v>0.35416666666666702</v>
      </c>
      <c r="G100" s="27">
        <v>0.66666666666666696</v>
      </c>
      <c r="H100" s="28">
        <f>(G100-F100)*24</f>
        <v>7.4999999999999982</v>
      </c>
      <c r="I100" s="29">
        <f>VLOOKUP(C100,$M$10:$O$12,3)</f>
        <v>150</v>
      </c>
      <c r="J100" s="32">
        <f>H100*I100*24</f>
        <v>26999.999999999993</v>
      </c>
    </row>
    <row r="101" spans="2:10" ht="13.9">
      <c r="B101" s="24">
        <v>36</v>
      </c>
      <c r="C101" s="25" t="s">
        <v>28</v>
      </c>
      <c r="D101" s="25" t="s">
        <v>36</v>
      </c>
      <c r="E101" s="26">
        <v>41473</v>
      </c>
      <c r="F101" s="27">
        <v>0.33333333333333298</v>
      </c>
      <c r="G101" s="27">
        <v>0.70833333333333304</v>
      </c>
      <c r="H101" s="28">
        <f>(G101-F101)*24</f>
        <v>9.0000000000000018</v>
      </c>
      <c r="I101" s="29">
        <f>VLOOKUP(C101,$M$10:$O$12,3)</f>
        <v>150</v>
      </c>
      <c r="J101" s="32">
        <f>H101*I101*24</f>
        <v>32400.000000000007</v>
      </c>
    </row>
    <row r="102" spans="2:10" ht="13.9">
      <c r="B102" s="24">
        <v>36</v>
      </c>
      <c r="C102" s="25" t="s">
        <v>28</v>
      </c>
      <c r="D102" s="25" t="s">
        <v>37</v>
      </c>
      <c r="E102" s="26">
        <v>41475</v>
      </c>
      <c r="F102" s="27">
        <v>0.33333333333333298</v>
      </c>
      <c r="G102" s="27">
        <v>0.72916666666666696</v>
      </c>
      <c r="H102" s="28">
        <f>(G102-F102)*24</f>
        <v>9.500000000000016</v>
      </c>
      <c r="I102" s="29">
        <f>VLOOKUP(C102,$M$10:$O$12,3)</f>
        <v>150</v>
      </c>
      <c r="J102" s="32">
        <f>H102*I102*24</f>
        <v>34200.000000000058</v>
      </c>
    </row>
    <row r="103" spans="2:10" ht="13.9">
      <c r="B103" s="24">
        <v>36</v>
      </c>
      <c r="C103" s="25" t="s">
        <v>28</v>
      </c>
      <c r="D103" s="25" t="s">
        <v>38</v>
      </c>
      <c r="E103" s="26">
        <v>41476</v>
      </c>
      <c r="F103" s="27">
        <v>0.40625</v>
      </c>
      <c r="G103" s="27">
        <v>0.75</v>
      </c>
      <c r="H103" s="28">
        <f>(G103-F103)*24</f>
        <v>8.25</v>
      </c>
      <c r="I103" s="29">
        <f>VLOOKUP(C103,$M$10:$O$12,3)</f>
        <v>150</v>
      </c>
      <c r="J103" s="32">
        <f>H103*I103*24</f>
        <v>29700</v>
      </c>
    </row>
    <row r="104" spans="2:10" ht="13.9">
      <c r="B104" s="24">
        <v>37</v>
      </c>
      <c r="C104" s="25" t="s">
        <v>25</v>
      </c>
      <c r="D104" s="25" t="s">
        <v>26</v>
      </c>
      <c r="E104" s="26">
        <v>41473</v>
      </c>
      <c r="F104" s="27">
        <v>0.35416666666666702</v>
      </c>
      <c r="G104" s="27">
        <v>0.6875</v>
      </c>
      <c r="H104" s="28">
        <f>(G104-F104)*24</f>
        <v>7.9999999999999911</v>
      </c>
      <c r="I104" s="29">
        <f>VLOOKUP(C104,$M$10:$O$12,3)</f>
        <v>200</v>
      </c>
      <c r="J104" s="32">
        <f>H104*I104*24</f>
        <v>38399.999999999956</v>
      </c>
    </row>
    <row r="105" spans="2:10" ht="13.9">
      <c r="B105" s="24">
        <v>37</v>
      </c>
      <c r="C105" s="25" t="s">
        <v>25</v>
      </c>
      <c r="D105" s="25" t="s">
        <v>29</v>
      </c>
      <c r="E105" s="26">
        <v>41474</v>
      </c>
      <c r="F105" s="27">
        <v>0.35416666666666702</v>
      </c>
      <c r="G105" s="27">
        <v>0.91666666666666696</v>
      </c>
      <c r="H105" s="28">
        <f>(G105-F105)*24</f>
        <v>13.5</v>
      </c>
      <c r="I105" s="29">
        <f>VLOOKUP(C105,$M$10:$O$12,3)</f>
        <v>200</v>
      </c>
      <c r="J105" s="32">
        <f>H105*I105*24</f>
        <v>64800</v>
      </c>
    </row>
    <row r="106" spans="2:10" ht="13.9">
      <c r="B106" s="24">
        <v>38</v>
      </c>
      <c r="C106" s="25" t="s">
        <v>25</v>
      </c>
      <c r="D106" s="25" t="s">
        <v>31</v>
      </c>
      <c r="E106" s="26">
        <v>41482</v>
      </c>
      <c r="F106" s="27">
        <v>0.35416666666666702</v>
      </c>
      <c r="G106" s="27">
        <v>0.875</v>
      </c>
      <c r="H106" s="28">
        <f>(G106-F106)*24</f>
        <v>12.499999999999993</v>
      </c>
      <c r="I106" s="29">
        <f>VLOOKUP(C106,$M$10:$O$12,3)</f>
        <v>200</v>
      </c>
      <c r="J106" s="32">
        <f>H106*I106*24</f>
        <v>59999.999999999971</v>
      </c>
    </row>
    <row r="107" spans="2:10" ht="13.9">
      <c r="B107" s="24">
        <v>38</v>
      </c>
      <c r="C107" s="25" t="s">
        <v>25</v>
      </c>
      <c r="D107" s="25" t="s">
        <v>34</v>
      </c>
      <c r="E107" s="26">
        <v>41481</v>
      </c>
      <c r="F107" s="27">
        <v>0.54166666666666696</v>
      </c>
      <c r="G107" s="27">
        <v>0.75</v>
      </c>
      <c r="H107" s="28">
        <f>(G107-F107)*24</f>
        <v>4.9999999999999929</v>
      </c>
      <c r="I107" s="29">
        <f>VLOOKUP(C107,$M$10:$O$12,3)</f>
        <v>200</v>
      </c>
      <c r="J107" s="32">
        <f>H107*I107*24</f>
        <v>23999.999999999967</v>
      </c>
    </row>
    <row r="108" spans="2:10" ht="13.9">
      <c r="B108" s="24">
        <v>39</v>
      </c>
      <c r="C108" s="25" t="s">
        <v>32</v>
      </c>
      <c r="D108" s="25" t="s">
        <v>35</v>
      </c>
      <c r="E108" s="26">
        <v>41483</v>
      </c>
      <c r="F108" s="27">
        <v>0.375</v>
      </c>
      <c r="G108" s="27">
        <v>0.58333333333333304</v>
      </c>
      <c r="H108" s="28">
        <f>(G108-F108)*24</f>
        <v>4.9999999999999929</v>
      </c>
      <c r="I108" s="29">
        <f>VLOOKUP(C108,$M$10:$O$12,3)</f>
        <v>95</v>
      </c>
      <c r="J108" s="32">
        <f>H108*I108*24</f>
        <v>11399.999999999984</v>
      </c>
    </row>
    <row r="109" spans="2:10" ht="13.9">
      <c r="B109" s="24">
        <v>39</v>
      </c>
      <c r="C109" s="25" t="s">
        <v>32</v>
      </c>
      <c r="D109" s="25" t="s">
        <v>36</v>
      </c>
      <c r="E109" s="26">
        <v>41486</v>
      </c>
      <c r="F109" s="27">
        <v>0.5</v>
      </c>
      <c r="G109" s="27">
        <v>0.625</v>
      </c>
      <c r="H109" s="28">
        <f>(G109-F109)*24</f>
        <v>3</v>
      </c>
      <c r="I109" s="29">
        <f>VLOOKUP(C109,$M$10:$O$12,3)</f>
        <v>95</v>
      </c>
      <c r="J109" s="32">
        <f>H109*I109*24</f>
        <v>6840</v>
      </c>
    </row>
    <row r="110" spans="2:10" ht="13.9">
      <c r="B110" s="24">
        <v>40</v>
      </c>
      <c r="C110" s="25" t="s">
        <v>28</v>
      </c>
      <c r="D110" s="25" t="s">
        <v>37</v>
      </c>
      <c r="E110" s="26">
        <v>41457</v>
      </c>
      <c r="F110" s="27">
        <v>0.58333333333333304</v>
      </c>
      <c r="G110" s="27">
        <v>0.66666666666666696</v>
      </c>
      <c r="H110" s="28">
        <f>(G110-F110)*24</f>
        <v>2.0000000000000142</v>
      </c>
      <c r="I110" s="29">
        <f>VLOOKUP(C110,$M$10:$O$12,3)</f>
        <v>150</v>
      </c>
      <c r="J110" s="32">
        <f>H110*I110*24</f>
        <v>7200.0000000000518</v>
      </c>
    </row>
    <row r="111" spans="2:10" ht="13.9">
      <c r="B111" s="24">
        <v>40</v>
      </c>
      <c r="C111" s="25" t="s">
        <v>28</v>
      </c>
      <c r="D111" s="25" t="s">
        <v>38</v>
      </c>
      <c r="E111" s="26">
        <v>41473</v>
      </c>
      <c r="F111" s="27">
        <v>0.33333333333333298</v>
      </c>
      <c r="G111" s="27">
        <v>0.5</v>
      </c>
      <c r="H111" s="28">
        <f>(G111-F111)*24</f>
        <v>4.0000000000000089</v>
      </c>
      <c r="I111" s="29">
        <f>VLOOKUP(C111,$M$10:$O$12,3)</f>
        <v>150</v>
      </c>
      <c r="J111" s="32">
        <f>H111*I111*24</f>
        <v>14400.000000000033</v>
      </c>
    </row>
    <row r="112" spans="2:10">
      <c r="B112" s="11"/>
      <c r="C112" s="11"/>
      <c r="D112" s="33"/>
      <c r="E112" s="11"/>
      <c r="F112" s="11"/>
      <c r="G112" s="34"/>
      <c r="H112" s="11"/>
      <c r="I112" s="11"/>
    </row>
    <row r="113" spans="2:9">
      <c r="B113" s="11"/>
      <c r="C113" s="11"/>
      <c r="D113" s="33"/>
      <c r="E113" s="11"/>
      <c r="F113" s="11"/>
      <c r="G113" s="34"/>
      <c r="H113" s="11"/>
      <c r="I113" s="11"/>
    </row>
    <row r="114" spans="2:9">
      <c r="B114" s="11"/>
      <c r="C114" s="11"/>
      <c r="D114" s="11"/>
      <c r="E114" s="11"/>
      <c r="F114" s="11"/>
      <c r="G114" s="34"/>
      <c r="H114" s="11"/>
      <c r="I114" s="11"/>
    </row>
    <row r="115" spans="2:9">
      <c r="B115" s="11"/>
      <c r="C115" s="11"/>
      <c r="D115" s="11"/>
      <c r="E115" s="11"/>
      <c r="F115" s="11"/>
      <c r="G115" s="11"/>
      <c r="H115" s="11"/>
      <c r="I115" s="11"/>
    </row>
    <row r="116" spans="2:9">
      <c r="B116" s="11"/>
      <c r="C116" s="11"/>
      <c r="D116" s="11"/>
      <c r="E116" s="11"/>
      <c r="F116" s="11"/>
      <c r="G116" s="11"/>
      <c r="H116" s="11"/>
      <c r="I116" s="11"/>
    </row>
    <row r="117" spans="2:9">
      <c r="B117" s="11"/>
      <c r="C117" s="11"/>
      <c r="D117" s="11"/>
      <c r="E117" s="11"/>
      <c r="F117" s="11"/>
      <c r="G117" s="11"/>
      <c r="H117" s="11"/>
      <c r="I117" s="11"/>
    </row>
    <row r="118" spans="2:9">
      <c r="B118" s="11"/>
      <c r="C118" s="11"/>
      <c r="D118" s="11"/>
      <c r="E118" s="11"/>
      <c r="F118" s="11"/>
      <c r="G118" s="11"/>
      <c r="H118" s="11"/>
      <c r="I118" s="11"/>
    </row>
    <row r="119" spans="2:9">
      <c r="B119" s="11"/>
      <c r="C119" s="11"/>
      <c r="D119" s="11"/>
      <c r="E119" s="11"/>
      <c r="F119" s="11"/>
      <c r="G119" s="11"/>
      <c r="H119" s="11"/>
      <c r="I119" s="11"/>
    </row>
    <row r="120" spans="2:9">
      <c r="B120" s="11"/>
      <c r="C120" s="11"/>
      <c r="D120" s="11"/>
      <c r="E120" s="11"/>
      <c r="F120" s="11"/>
      <c r="G120" s="11"/>
      <c r="H120" s="11"/>
      <c r="I120" s="11"/>
    </row>
    <row r="121" spans="2:9">
      <c r="B121" s="11"/>
      <c r="C121" s="11"/>
      <c r="D121" s="11"/>
      <c r="E121" s="11"/>
      <c r="F121" s="11"/>
      <c r="G121" s="11"/>
      <c r="H121" s="11"/>
      <c r="I121" s="11"/>
    </row>
    <row r="122" spans="2:9">
      <c r="B122" s="11"/>
      <c r="C122" s="11"/>
      <c r="D122" s="11"/>
      <c r="E122" s="11"/>
      <c r="F122" s="11"/>
      <c r="G122" s="11"/>
      <c r="H122" s="11"/>
      <c r="I122" s="11"/>
    </row>
    <row r="123" spans="2:9">
      <c r="B123" s="11"/>
      <c r="C123" s="11"/>
      <c r="D123" s="11"/>
      <c r="E123" s="11"/>
      <c r="F123" s="11"/>
      <c r="G123" s="11"/>
      <c r="H123" s="11"/>
      <c r="I123" s="11"/>
    </row>
    <row r="124" spans="2:9">
      <c r="B124" s="11"/>
      <c r="C124" s="11"/>
      <c r="D124" s="11"/>
      <c r="E124" s="11"/>
      <c r="F124" s="11"/>
      <c r="G124" s="11"/>
      <c r="H124" s="11"/>
      <c r="I124" s="11"/>
    </row>
    <row r="125" spans="2:9">
      <c r="B125" s="11"/>
      <c r="C125" s="11"/>
      <c r="D125" s="11"/>
      <c r="E125" s="11"/>
      <c r="F125" s="11"/>
      <c r="G125" s="11"/>
      <c r="H125" s="11"/>
      <c r="I125" s="11"/>
    </row>
    <row r="126" spans="2:9">
      <c r="B126" s="11"/>
      <c r="C126" s="11"/>
      <c r="D126" s="11"/>
      <c r="E126" s="11"/>
      <c r="F126" s="11"/>
      <c r="G126" s="11"/>
      <c r="H126" s="11"/>
      <c r="I126" s="11"/>
    </row>
    <row r="127" spans="2:9">
      <c r="B127" s="11"/>
      <c r="C127" s="11"/>
      <c r="D127" s="11"/>
      <c r="E127" s="11"/>
      <c r="F127" s="11"/>
      <c r="G127" s="11"/>
      <c r="H127" s="11"/>
      <c r="I127" s="11"/>
    </row>
    <row r="128" spans="2:9">
      <c r="B128" s="11"/>
      <c r="C128" s="11"/>
      <c r="D128" s="11"/>
      <c r="E128" s="11"/>
      <c r="F128" s="11"/>
      <c r="G128" s="11"/>
      <c r="H128" s="11"/>
      <c r="I128" s="11"/>
    </row>
    <row r="129" spans="2:9">
      <c r="B129" s="11"/>
      <c r="C129" s="11"/>
      <c r="D129" s="11"/>
      <c r="E129" s="11"/>
      <c r="F129" s="11"/>
      <c r="G129" s="11"/>
      <c r="H129" s="11"/>
      <c r="I129" s="11"/>
    </row>
    <row r="130" spans="2:9">
      <c r="B130" s="11"/>
      <c r="C130" s="11"/>
      <c r="D130" s="11"/>
      <c r="E130" s="11"/>
      <c r="F130" s="11"/>
      <c r="G130" s="11"/>
      <c r="H130" s="11"/>
      <c r="I130" s="11"/>
    </row>
    <row r="131" spans="2:9">
      <c r="B131" s="11"/>
      <c r="C131" s="11"/>
      <c r="D131" s="11"/>
      <c r="E131" s="11"/>
      <c r="F131" s="11"/>
      <c r="G131" s="11"/>
      <c r="H131" s="11"/>
      <c r="I131" s="11"/>
    </row>
    <row r="132" spans="2:9">
      <c r="B132" s="11"/>
      <c r="C132" s="11"/>
      <c r="D132" s="11"/>
      <c r="E132" s="11"/>
      <c r="F132" s="11"/>
      <c r="G132" s="11"/>
      <c r="H132" s="11"/>
      <c r="I132" s="11"/>
    </row>
    <row r="133" spans="2:9">
      <c r="B133" s="11"/>
      <c r="C133" s="11"/>
      <c r="D133" s="11"/>
      <c r="E133" s="11"/>
      <c r="F133" s="11"/>
      <c r="G133" s="11"/>
      <c r="H133" s="11"/>
      <c r="I133" s="11"/>
    </row>
    <row r="134" spans="2:9">
      <c r="B134" s="11"/>
      <c r="C134" s="11"/>
      <c r="D134" s="11"/>
      <c r="E134" s="11"/>
      <c r="F134" s="11"/>
      <c r="G134" s="11"/>
      <c r="H134" s="11"/>
      <c r="I134" s="11"/>
    </row>
    <row r="135" spans="2:9">
      <c r="B135" s="11"/>
      <c r="C135" s="11"/>
      <c r="D135" s="11"/>
      <c r="E135" s="11"/>
      <c r="F135" s="11"/>
      <c r="G135" s="11"/>
      <c r="H135" s="11"/>
      <c r="I135" s="11"/>
    </row>
    <row r="136" spans="2:9">
      <c r="B136" s="11"/>
      <c r="C136" s="11"/>
      <c r="D136" s="11"/>
      <c r="E136" s="11"/>
      <c r="F136" s="11"/>
      <c r="G136" s="11"/>
      <c r="H136" s="11"/>
      <c r="I136" s="11"/>
    </row>
    <row r="137" spans="2:9">
      <c r="B137" s="11"/>
      <c r="C137" s="11"/>
      <c r="D137" s="11"/>
      <c r="E137" s="11"/>
      <c r="F137" s="11"/>
      <c r="G137" s="11"/>
      <c r="H137" s="11"/>
      <c r="I137" s="11"/>
    </row>
    <row r="138" spans="2:9">
      <c r="B138" s="11"/>
      <c r="C138" s="11"/>
      <c r="D138" s="11"/>
      <c r="E138" s="11"/>
      <c r="F138" s="11"/>
      <c r="G138" s="11"/>
      <c r="H138" s="11"/>
      <c r="I138" s="11"/>
    </row>
    <row r="139" spans="2:9">
      <c r="B139" s="11"/>
      <c r="C139" s="11"/>
      <c r="D139" s="11"/>
      <c r="E139" s="11"/>
      <c r="F139" s="11"/>
      <c r="G139" s="11"/>
      <c r="H139" s="11"/>
      <c r="I139" s="11"/>
    </row>
    <row r="140" spans="2:9">
      <c r="B140" s="11"/>
      <c r="C140" s="11"/>
      <c r="D140" s="11"/>
      <c r="E140" s="11"/>
      <c r="F140" s="11"/>
      <c r="G140" s="11"/>
      <c r="H140" s="11"/>
      <c r="I140" s="11"/>
    </row>
    <row r="141" spans="2:9">
      <c r="B141" s="11"/>
      <c r="C141" s="11"/>
      <c r="D141" s="11"/>
      <c r="E141" s="11"/>
      <c r="F141" s="11"/>
      <c r="G141" s="11"/>
      <c r="H141" s="11"/>
      <c r="I141" s="11"/>
    </row>
    <row r="142" spans="2:9">
      <c r="B142" s="11"/>
      <c r="C142" s="11"/>
      <c r="D142" s="11"/>
      <c r="E142" s="11"/>
      <c r="F142" s="11"/>
      <c r="G142" s="11"/>
      <c r="H142" s="11"/>
      <c r="I142" s="11"/>
    </row>
    <row r="143" spans="2:9">
      <c r="B143" s="11"/>
      <c r="C143" s="11"/>
      <c r="D143" s="11"/>
      <c r="E143" s="11"/>
      <c r="F143" s="11"/>
      <c r="G143" s="11"/>
      <c r="H143" s="11"/>
      <c r="I143" s="11"/>
    </row>
    <row r="144" spans="2:9">
      <c r="B144" s="11"/>
      <c r="C144" s="11"/>
      <c r="D144" s="11"/>
      <c r="E144" s="11"/>
      <c r="F144" s="11"/>
      <c r="G144" s="11"/>
      <c r="H144" s="11"/>
      <c r="I144" s="11"/>
    </row>
    <row r="145" spans="2:9">
      <c r="B145" s="11"/>
      <c r="C145" s="11"/>
      <c r="D145" s="11"/>
      <c r="E145" s="11"/>
      <c r="F145" s="11"/>
      <c r="G145" s="11"/>
      <c r="H145" s="11"/>
      <c r="I145" s="11"/>
    </row>
    <row r="146" spans="2:9">
      <c r="B146" s="11"/>
      <c r="C146" s="11"/>
      <c r="D146" s="11"/>
      <c r="E146" s="11"/>
      <c r="F146" s="11"/>
      <c r="G146" s="11"/>
      <c r="H146" s="11"/>
      <c r="I146" s="11"/>
    </row>
    <row r="147" spans="2:9">
      <c r="B147" s="11"/>
      <c r="C147" s="11"/>
      <c r="D147" s="11"/>
      <c r="E147" s="11"/>
      <c r="F147" s="11"/>
      <c r="G147" s="11"/>
      <c r="H147" s="11"/>
      <c r="I147" s="11"/>
    </row>
    <row r="148" spans="2:9">
      <c r="B148" s="11"/>
      <c r="C148" s="11"/>
      <c r="D148" s="11"/>
      <c r="E148" s="11"/>
      <c r="F148" s="11"/>
      <c r="G148" s="11"/>
      <c r="H148" s="11"/>
      <c r="I148" s="11"/>
    </row>
    <row r="149" spans="2:9">
      <c r="B149" s="11"/>
      <c r="C149" s="11"/>
      <c r="D149" s="11"/>
      <c r="E149" s="11"/>
      <c r="F149" s="11"/>
      <c r="G149" s="11"/>
      <c r="H149" s="11"/>
      <c r="I149" s="11"/>
    </row>
    <row r="150" spans="2:9">
      <c r="B150" s="11"/>
      <c r="C150" s="11"/>
      <c r="D150" s="11"/>
      <c r="E150" s="11"/>
      <c r="F150" s="11"/>
      <c r="G150" s="11"/>
      <c r="H150" s="11"/>
      <c r="I150" s="11"/>
    </row>
    <row r="151" spans="2:9">
      <c r="B151" s="11"/>
      <c r="C151" s="11"/>
      <c r="D151" s="11"/>
      <c r="E151" s="11"/>
      <c r="F151" s="11"/>
      <c r="G151" s="11"/>
      <c r="H151" s="11"/>
      <c r="I151" s="11"/>
    </row>
    <row r="152" spans="2:9">
      <c r="B152" s="11"/>
      <c r="C152" s="11"/>
      <c r="D152" s="11"/>
      <c r="E152" s="11"/>
      <c r="F152" s="11"/>
      <c r="G152" s="11"/>
      <c r="H152" s="11"/>
      <c r="I152" s="11"/>
    </row>
    <row r="153" spans="2:9">
      <c r="B153" s="11"/>
      <c r="C153" s="11"/>
      <c r="D153" s="11"/>
      <c r="E153" s="11"/>
      <c r="F153" s="11"/>
      <c r="G153" s="11"/>
      <c r="H153" s="11"/>
      <c r="I153" s="11"/>
    </row>
    <row r="154" spans="2:9">
      <c r="B154" s="11"/>
      <c r="C154" s="11"/>
      <c r="D154" s="11"/>
      <c r="E154" s="11"/>
      <c r="F154" s="11"/>
      <c r="G154" s="11"/>
      <c r="H154" s="11"/>
      <c r="I154" s="11"/>
    </row>
    <row r="155" spans="2:9">
      <c r="B155" s="11"/>
      <c r="C155" s="11"/>
      <c r="D155" s="11"/>
      <c r="E155" s="11"/>
      <c r="F155" s="11"/>
      <c r="G155" s="11"/>
      <c r="H155" s="11"/>
      <c r="I155" s="11"/>
    </row>
    <row r="156" spans="2:9">
      <c r="B156" s="11"/>
      <c r="C156" s="11"/>
      <c r="D156" s="11"/>
      <c r="E156" s="11"/>
      <c r="F156" s="11"/>
      <c r="G156" s="11"/>
      <c r="H156" s="11"/>
      <c r="I156" s="11"/>
    </row>
    <row r="157" spans="2:9">
      <c r="B157" s="11"/>
      <c r="C157" s="11"/>
      <c r="D157" s="11"/>
      <c r="E157" s="11"/>
      <c r="F157" s="11"/>
      <c r="G157" s="11"/>
      <c r="H157" s="11"/>
      <c r="I157" s="11"/>
    </row>
    <row r="158" spans="2:9">
      <c r="B158" s="11"/>
      <c r="C158" s="11"/>
      <c r="D158" s="11"/>
      <c r="E158" s="11"/>
      <c r="F158" s="11"/>
      <c r="G158" s="11"/>
      <c r="H158" s="11"/>
      <c r="I158" s="11"/>
    </row>
    <row r="159" spans="2:9">
      <c r="B159" s="11"/>
      <c r="C159" s="11"/>
      <c r="D159" s="11"/>
      <c r="E159" s="11"/>
      <c r="F159" s="11"/>
      <c r="G159" s="11"/>
      <c r="H159" s="11"/>
      <c r="I159" s="11"/>
    </row>
    <row r="160" spans="2:9">
      <c r="B160" s="11"/>
      <c r="C160" s="11"/>
      <c r="D160" s="11"/>
      <c r="E160" s="11"/>
      <c r="F160" s="11"/>
      <c r="G160" s="11"/>
      <c r="H160" s="11"/>
      <c r="I160" s="11"/>
    </row>
    <row r="161" spans="2:9">
      <c r="B161" s="11"/>
      <c r="C161" s="11"/>
      <c r="D161" s="11"/>
      <c r="E161" s="11"/>
      <c r="F161" s="11"/>
      <c r="G161" s="11"/>
      <c r="H161" s="11"/>
      <c r="I161" s="11"/>
    </row>
    <row r="162" spans="2:9">
      <c r="B162" s="11"/>
      <c r="C162" s="11"/>
      <c r="D162" s="11"/>
      <c r="E162" s="11"/>
      <c r="F162" s="11"/>
      <c r="G162" s="11"/>
      <c r="H162" s="11"/>
      <c r="I162" s="11"/>
    </row>
    <row r="163" spans="2:9">
      <c r="B163" s="11"/>
      <c r="C163" s="11"/>
      <c r="D163" s="11"/>
      <c r="E163" s="11"/>
      <c r="F163" s="11"/>
      <c r="G163" s="11"/>
      <c r="H163" s="11"/>
      <c r="I163" s="11"/>
    </row>
    <row r="164" spans="2:9">
      <c r="B164" s="11"/>
      <c r="C164" s="11"/>
      <c r="D164" s="11"/>
      <c r="E164" s="11"/>
      <c r="F164" s="11"/>
      <c r="G164" s="11"/>
      <c r="H164" s="11"/>
      <c r="I164" s="11"/>
    </row>
    <row r="165" spans="2:9">
      <c r="B165" s="11"/>
      <c r="C165" s="11"/>
      <c r="D165" s="11"/>
      <c r="E165" s="11"/>
      <c r="F165" s="11"/>
      <c r="G165" s="11"/>
      <c r="H165" s="11"/>
      <c r="I165" s="11"/>
    </row>
    <row r="166" spans="2:9">
      <c r="B166" s="11"/>
      <c r="C166" s="11"/>
      <c r="D166" s="11"/>
      <c r="E166" s="11"/>
      <c r="F166" s="11"/>
      <c r="G166" s="11"/>
      <c r="H166" s="11"/>
      <c r="I166" s="11"/>
    </row>
    <row r="167" spans="2:9">
      <c r="B167" s="11"/>
      <c r="C167" s="11"/>
      <c r="D167" s="11"/>
      <c r="E167" s="11"/>
      <c r="F167" s="11"/>
      <c r="G167" s="11"/>
      <c r="H167" s="11"/>
      <c r="I167" s="11"/>
    </row>
    <row r="168" spans="2:9">
      <c r="B168" s="11"/>
      <c r="C168" s="11"/>
      <c r="D168" s="11"/>
      <c r="E168" s="11"/>
      <c r="F168" s="11"/>
      <c r="G168" s="11"/>
      <c r="H168" s="11"/>
      <c r="I168" s="11"/>
    </row>
    <row r="169" spans="2:9">
      <c r="B169" s="11"/>
      <c r="C169" s="11"/>
      <c r="D169" s="11"/>
      <c r="E169" s="11"/>
      <c r="F169" s="11"/>
      <c r="G169" s="11"/>
      <c r="H169" s="11"/>
      <c r="I169" s="11"/>
    </row>
    <row r="170" spans="2:9">
      <c r="B170" s="11"/>
      <c r="C170" s="11"/>
      <c r="D170" s="11"/>
      <c r="E170" s="11"/>
      <c r="F170" s="11"/>
      <c r="G170" s="11"/>
      <c r="H170" s="11"/>
      <c r="I170" s="11"/>
    </row>
    <row r="171" spans="2:9">
      <c r="B171" s="11"/>
      <c r="C171" s="11"/>
      <c r="D171" s="11"/>
      <c r="E171" s="11"/>
      <c r="F171" s="11"/>
      <c r="G171" s="11"/>
      <c r="H171" s="11"/>
      <c r="I171" s="11"/>
    </row>
    <row r="172" spans="2:9">
      <c r="B172" s="11"/>
      <c r="C172" s="11"/>
      <c r="D172" s="11"/>
      <c r="E172" s="11"/>
      <c r="F172" s="11"/>
      <c r="G172" s="11"/>
      <c r="H172" s="11"/>
      <c r="I172" s="11"/>
    </row>
    <row r="173" spans="2:9">
      <c r="B173" s="11"/>
      <c r="C173" s="11"/>
      <c r="D173" s="11"/>
      <c r="E173" s="11"/>
      <c r="F173" s="11"/>
      <c r="G173" s="11"/>
      <c r="H173" s="11"/>
      <c r="I173" s="11"/>
    </row>
    <row r="174" spans="2:9">
      <c r="B174" s="11"/>
      <c r="C174" s="11"/>
      <c r="D174" s="11"/>
      <c r="E174" s="11"/>
      <c r="F174" s="11"/>
      <c r="G174" s="11"/>
      <c r="H174" s="11"/>
      <c r="I174" s="11"/>
    </row>
    <row r="175" spans="2:9">
      <c r="B175" s="11"/>
      <c r="C175" s="11"/>
      <c r="D175" s="11"/>
      <c r="E175" s="11"/>
      <c r="F175" s="11"/>
      <c r="G175" s="11"/>
      <c r="H175" s="11"/>
      <c r="I175" s="11"/>
    </row>
    <row r="176" spans="2:9">
      <c r="B176" s="11"/>
      <c r="C176" s="11"/>
      <c r="D176" s="11"/>
      <c r="E176" s="11"/>
      <c r="F176" s="11"/>
      <c r="G176" s="11"/>
      <c r="H176" s="11"/>
      <c r="I176" s="11"/>
    </row>
    <row r="177" spans="2:9">
      <c r="B177" s="11"/>
      <c r="C177" s="11"/>
      <c r="D177" s="11"/>
      <c r="E177" s="11"/>
      <c r="F177" s="11"/>
      <c r="G177" s="11"/>
      <c r="H177" s="11"/>
      <c r="I177" s="11"/>
    </row>
    <row r="178" spans="2:9">
      <c r="B178" s="11"/>
      <c r="C178" s="11"/>
      <c r="D178" s="11"/>
      <c r="E178" s="11"/>
      <c r="F178" s="11"/>
      <c r="G178" s="11"/>
      <c r="H178" s="11"/>
      <c r="I178" s="11"/>
    </row>
    <row r="179" spans="2:9">
      <c r="B179" s="11"/>
      <c r="C179" s="11"/>
      <c r="D179" s="11"/>
      <c r="E179" s="11"/>
      <c r="F179" s="11"/>
      <c r="G179" s="11"/>
      <c r="H179" s="11"/>
      <c r="I179" s="11"/>
    </row>
    <row r="180" spans="2:9">
      <c r="B180" s="11"/>
      <c r="C180" s="11"/>
      <c r="D180" s="11"/>
      <c r="E180" s="11"/>
      <c r="F180" s="11"/>
      <c r="G180" s="11"/>
      <c r="H180" s="11"/>
      <c r="I180" s="11"/>
    </row>
    <row r="181" spans="2:9">
      <c r="B181" s="11"/>
      <c r="C181" s="11"/>
      <c r="D181" s="11"/>
      <c r="E181" s="11"/>
      <c r="F181" s="11"/>
      <c r="G181" s="11"/>
      <c r="H181" s="11"/>
      <c r="I181" s="11"/>
    </row>
    <row r="182" spans="2:9">
      <c r="B182" s="11"/>
      <c r="C182" s="11"/>
      <c r="D182" s="11"/>
      <c r="E182" s="11"/>
      <c r="F182" s="11"/>
      <c r="G182" s="11"/>
      <c r="H182" s="11"/>
      <c r="I182" s="11"/>
    </row>
    <row r="183" spans="2:9">
      <c r="B183" s="11"/>
      <c r="C183" s="11"/>
      <c r="D183" s="11"/>
      <c r="E183" s="11"/>
      <c r="F183" s="11"/>
      <c r="G183" s="11"/>
      <c r="H183" s="11"/>
      <c r="I183" s="11"/>
    </row>
    <row r="184" spans="2:9">
      <c r="B184" s="11"/>
      <c r="C184" s="11"/>
      <c r="D184" s="11"/>
      <c r="E184" s="11"/>
      <c r="F184" s="11"/>
      <c r="G184" s="11"/>
      <c r="H184" s="11"/>
      <c r="I184" s="11"/>
    </row>
    <row r="185" spans="2:9">
      <c r="B185" s="11"/>
      <c r="C185" s="11"/>
      <c r="D185" s="11"/>
      <c r="E185" s="11"/>
      <c r="F185" s="11"/>
      <c r="G185" s="11"/>
      <c r="H185" s="11"/>
      <c r="I185" s="11"/>
    </row>
    <row r="186" spans="2:9">
      <c r="B186" s="11"/>
      <c r="C186" s="11"/>
      <c r="D186" s="11"/>
      <c r="E186" s="11"/>
      <c r="F186" s="11"/>
      <c r="G186" s="11"/>
      <c r="H186" s="11"/>
      <c r="I186" s="11"/>
    </row>
    <row r="187" spans="2:9">
      <c r="B187" s="11"/>
      <c r="C187" s="11"/>
      <c r="D187" s="11"/>
      <c r="E187" s="11"/>
      <c r="F187" s="11"/>
      <c r="G187" s="11"/>
      <c r="H187" s="11"/>
      <c r="I187" s="11"/>
    </row>
    <row r="188" spans="2:9">
      <c r="B188" s="11"/>
      <c r="C188" s="11"/>
      <c r="D188" s="11"/>
      <c r="E188" s="11"/>
      <c r="F188" s="11"/>
      <c r="G188" s="11"/>
      <c r="H188" s="11"/>
      <c r="I188" s="11"/>
    </row>
    <row r="189" spans="2:9">
      <c r="B189" s="11"/>
      <c r="C189" s="11"/>
      <c r="D189" s="11"/>
      <c r="E189" s="11"/>
      <c r="F189" s="11"/>
      <c r="G189" s="11"/>
      <c r="H189" s="11"/>
      <c r="I189" s="11"/>
    </row>
    <row r="190" spans="2:9">
      <c r="B190" s="11"/>
      <c r="C190" s="11"/>
      <c r="D190" s="11"/>
      <c r="E190" s="11"/>
      <c r="F190" s="11"/>
      <c r="G190" s="11"/>
      <c r="H190" s="11"/>
      <c r="I190" s="11"/>
    </row>
    <row r="191" spans="2:9">
      <c r="B191" s="11"/>
      <c r="C191" s="11"/>
      <c r="D191" s="11"/>
      <c r="E191" s="11"/>
      <c r="F191" s="11"/>
      <c r="G191" s="11"/>
      <c r="H191" s="11"/>
      <c r="I191" s="11"/>
    </row>
    <row r="192" spans="2:9">
      <c r="B192" s="11"/>
      <c r="C192" s="11"/>
      <c r="D192" s="11"/>
      <c r="E192" s="11"/>
      <c r="F192" s="11"/>
      <c r="G192" s="11"/>
      <c r="H192" s="11"/>
      <c r="I192" s="11"/>
    </row>
    <row r="193" spans="2:9">
      <c r="B193" s="11"/>
      <c r="C193" s="11"/>
      <c r="D193" s="11"/>
      <c r="E193" s="11"/>
      <c r="F193" s="11"/>
      <c r="G193" s="11"/>
      <c r="H193" s="11"/>
      <c r="I193" s="11"/>
    </row>
    <row r="194" spans="2:9">
      <c r="B194" s="11"/>
      <c r="C194" s="11"/>
      <c r="D194" s="11"/>
      <c r="E194" s="11"/>
      <c r="F194" s="11"/>
      <c r="G194" s="11"/>
      <c r="H194" s="11"/>
      <c r="I194" s="11"/>
    </row>
    <row r="195" spans="2:9">
      <c r="B195" s="11"/>
      <c r="C195" s="11"/>
      <c r="D195" s="11"/>
      <c r="E195" s="11"/>
      <c r="F195" s="11"/>
      <c r="G195" s="11"/>
      <c r="H195" s="11"/>
      <c r="I195" s="11"/>
    </row>
    <row r="196" spans="2:9">
      <c r="B196" s="11"/>
      <c r="C196" s="11"/>
      <c r="D196" s="11"/>
      <c r="E196" s="11"/>
      <c r="F196" s="11"/>
      <c r="G196" s="11"/>
      <c r="H196" s="11"/>
      <c r="I196" s="11"/>
    </row>
    <row r="197" spans="2:9">
      <c r="B197" s="11"/>
      <c r="C197" s="11"/>
      <c r="D197" s="11"/>
      <c r="E197" s="11"/>
      <c r="F197" s="11"/>
      <c r="G197" s="11"/>
      <c r="H197" s="11"/>
      <c r="I197" s="11"/>
    </row>
    <row r="198" spans="2:9">
      <c r="B198" s="11"/>
      <c r="C198" s="11"/>
      <c r="D198" s="11"/>
      <c r="E198" s="11"/>
      <c r="F198" s="11"/>
      <c r="G198" s="11"/>
      <c r="H198" s="11"/>
      <c r="I198" s="11"/>
    </row>
    <row r="199" spans="2:9">
      <c r="B199" s="11"/>
      <c r="C199" s="11"/>
      <c r="D199" s="11"/>
      <c r="E199" s="11"/>
      <c r="F199" s="11"/>
      <c r="G199" s="11"/>
      <c r="H199" s="11"/>
      <c r="I199" s="11"/>
    </row>
    <row r="200" spans="2:9">
      <c r="B200" s="11"/>
      <c r="C200" s="11"/>
      <c r="D200" s="11"/>
      <c r="E200" s="11"/>
      <c r="F200" s="11"/>
      <c r="G200" s="11"/>
      <c r="H200" s="11"/>
      <c r="I200" s="11"/>
    </row>
    <row r="201" spans="2:9">
      <c r="B201" s="11"/>
      <c r="C201" s="11"/>
      <c r="D201" s="11"/>
      <c r="E201" s="11"/>
      <c r="F201" s="11"/>
      <c r="G201" s="11"/>
      <c r="H201" s="11"/>
      <c r="I201" s="11"/>
    </row>
    <row r="202" spans="2:9">
      <c r="B202" s="11"/>
      <c r="C202" s="11"/>
      <c r="D202" s="11"/>
      <c r="E202" s="11"/>
      <c r="F202" s="11"/>
      <c r="G202" s="11"/>
      <c r="H202" s="11"/>
      <c r="I202" s="11"/>
    </row>
    <row r="203" spans="2:9">
      <c r="B203" s="11"/>
      <c r="C203" s="11"/>
      <c r="D203" s="11"/>
      <c r="E203" s="11"/>
      <c r="F203" s="11"/>
      <c r="G203" s="11"/>
      <c r="H203" s="11"/>
      <c r="I203" s="11"/>
    </row>
    <row r="204" spans="2:9">
      <c r="B204" s="11"/>
      <c r="C204" s="11"/>
      <c r="D204" s="11"/>
      <c r="E204" s="11"/>
      <c r="F204" s="11"/>
      <c r="G204" s="11"/>
      <c r="H204" s="11"/>
      <c r="I204" s="11"/>
    </row>
    <row r="205" spans="2:9">
      <c r="B205" s="11"/>
      <c r="C205" s="11"/>
      <c r="D205" s="11"/>
      <c r="E205" s="11"/>
      <c r="F205" s="11"/>
      <c r="G205" s="11"/>
      <c r="H205" s="11"/>
      <c r="I205" s="11"/>
    </row>
    <row r="206" spans="2:9">
      <c r="B206" s="11"/>
      <c r="C206" s="11"/>
      <c r="D206" s="11"/>
      <c r="E206" s="11"/>
      <c r="F206" s="11"/>
      <c r="G206" s="11"/>
      <c r="H206" s="11"/>
      <c r="I206" s="11"/>
    </row>
    <row r="207" spans="2:9">
      <c r="B207" s="11"/>
      <c r="C207" s="11"/>
      <c r="D207" s="11"/>
      <c r="E207" s="11"/>
      <c r="F207" s="11"/>
      <c r="G207" s="11"/>
      <c r="H207" s="11"/>
      <c r="I207" s="11"/>
    </row>
    <row r="208" spans="2:9">
      <c r="B208" s="11"/>
      <c r="C208" s="11"/>
      <c r="D208" s="11"/>
      <c r="E208" s="11"/>
      <c r="F208" s="11"/>
      <c r="G208" s="11"/>
      <c r="H208" s="11"/>
      <c r="I208" s="11"/>
    </row>
    <row r="209" spans="2:9">
      <c r="B209" s="11"/>
      <c r="C209" s="11"/>
      <c r="D209" s="11"/>
      <c r="E209" s="11"/>
      <c r="F209" s="11"/>
      <c r="G209" s="11"/>
      <c r="H209" s="11"/>
      <c r="I209" s="11"/>
    </row>
    <row r="210" spans="2:9">
      <c r="B210" s="11"/>
      <c r="C210" s="11"/>
      <c r="D210" s="11"/>
      <c r="E210" s="11"/>
      <c r="F210" s="11"/>
      <c r="G210" s="11"/>
      <c r="H210" s="11"/>
      <c r="I210" s="11"/>
    </row>
    <row r="211" spans="2:9">
      <c r="B211" s="11"/>
      <c r="C211" s="11"/>
      <c r="D211" s="11"/>
      <c r="E211" s="11"/>
      <c r="F211" s="11"/>
      <c r="G211" s="11"/>
      <c r="H211" s="11"/>
      <c r="I211" s="11"/>
    </row>
    <row r="212" spans="2:9">
      <c r="B212" s="11"/>
      <c r="C212" s="11"/>
      <c r="D212" s="11"/>
      <c r="E212" s="11"/>
      <c r="F212" s="11"/>
      <c r="G212" s="11"/>
      <c r="H212" s="11"/>
      <c r="I212" s="11"/>
    </row>
    <row r="213" spans="2:9">
      <c r="B213" s="11"/>
      <c r="C213" s="11"/>
      <c r="D213" s="11"/>
      <c r="E213" s="11"/>
      <c r="F213" s="11"/>
      <c r="G213" s="11"/>
      <c r="H213" s="11"/>
      <c r="I213" s="11"/>
    </row>
    <row r="214" spans="2:9">
      <c r="B214" s="11"/>
      <c r="C214" s="11"/>
      <c r="D214" s="11"/>
      <c r="E214" s="11"/>
      <c r="F214" s="11"/>
      <c r="G214" s="11"/>
      <c r="H214" s="11"/>
      <c r="I214" s="11"/>
    </row>
    <row r="215" spans="2:9">
      <c r="B215" s="11"/>
      <c r="C215" s="11"/>
      <c r="D215" s="11"/>
      <c r="E215" s="11"/>
      <c r="F215" s="11"/>
      <c r="G215" s="11"/>
      <c r="H215" s="11"/>
      <c r="I215" s="11"/>
    </row>
    <row r="216" spans="2:9">
      <c r="B216" s="11"/>
      <c r="C216" s="11"/>
      <c r="D216" s="11"/>
      <c r="E216" s="11"/>
      <c r="F216" s="11"/>
      <c r="G216" s="11"/>
      <c r="H216" s="11"/>
      <c r="I216" s="11"/>
    </row>
    <row r="217" spans="2:9">
      <c r="B217" s="11"/>
      <c r="C217" s="11"/>
      <c r="D217" s="11"/>
      <c r="E217" s="11"/>
      <c r="F217" s="11"/>
      <c r="G217" s="11"/>
      <c r="H217" s="11"/>
      <c r="I217" s="11"/>
    </row>
    <row r="218" spans="2:9">
      <c r="B218" s="11"/>
      <c r="C218" s="11"/>
      <c r="D218" s="11"/>
      <c r="E218" s="11"/>
      <c r="F218" s="11"/>
      <c r="G218" s="11"/>
      <c r="H218" s="11"/>
      <c r="I218" s="11"/>
    </row>
    <row r="219" spans="2:9">
      <c r="B219" s="11"/>
      <c r="C219" s="11"/>
      <c r="D219" s="11"/>
      <c r="E219" s="11"/>
      <c r="F219" s="11"/>
      <c r="G219" s="11"/>
      <c r="H219" s="11"/>
      <c r="I219" s="11"/>
    </row>
    <row r="220" spans="2:9">
      <c r="B220" s="11"/>
      <c r="C220" s="11"/>
      <c r="D220" s="11"/>
      <c r="E220" s="11"/>
      <c r="F220" s="11"/>
      <c r="G220" s="11"/>
      <c r="H220" s="11"/>
      <c r="I220" s="11"/>
    </row>
    <row r="221" spans="2:9">
      <c r="B221" s="11"/>
      <c r="C221" s="11"/>
      <c r="D221" s="11"/>
      <c r="E221" s="11"/>
      <c r="F221" s="11"/>
      <c r="G221" s="11"/>
      <c r="H221" s="11"/>
      <c r="I221" s="11"/>
    </row>
    <row r="222" spans="2:9">
      <c r="B222" s="11"/>
      <c r="C222" s="11"/>
      <c r="D222" s="11"/>
      <c r="E222" s="11"/>
      <c r="F222" s="11"/>
      <c r="G222" s="11"/>
      <c r="H222" s="11"/>
      <c r="I222" s="11"/>
    </row>
    <row r="223" spans="2:9">
      <c r="B223" s="11"/>
      <c r="C223" s="11"/>
      <c r="D223" s="11"/>
      <c r="E223" s="11"/>
      <c r="F223" s="11"/>
      <c r="G223" s="11"/>
      <c r="H223" s="11"/>
      <c r="I223" s="11"/>
    </row>
  </sheetData>
  <pageMargins left="0.75" right="0.75" top="1" bottom="1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AMJ72"/>
  <sheetViews>
    <sheetView showGridLines="0" topLeftCell="A19" zoomScale="80" zoomScaleNormal="80" workbookViewId="0">
      <selection activeCell="D33" sqref="D33"/>
    </sheetView>
  </sheetViews>
  <sheetFormatPr defaultColWidth="9" defaultRowHeight="13.9"/>
  <cols>
    <col min="1" max="1" width="7.125" style="11" customWidth="1"/>
    <col min="2" max="2" width="9" style="11"/>
    <col min="3" max="3" width="17.75" style="11" customWidth="1"/>
    <col min="4" max="4" width="27.5" style="11" customWidth="1"/>
    <col min="5" max="5" width="20.75" style="11" customWidth="1"/>
    <col min="6" max="10" width="9" style="11"/>
    <col min="11" max="11" width="12.5" style="11" customWidth="1"/>
    <col min="12" max="1024" width="9" style="11"/>
  </cols>
  <sheetData>
    <row r="2" spans="2:5">
      <c r="B2" s="16"/>
    </row>
    <row r="3" spans="2:5">
      <c r="B3" s="16" t="s">
        <v>41</v>
      </c>
    </row>
    <row r="4" spans="2:5">
      <c r="B4" s="16"/>
    </row>
    <row r="5" spans="2:5">
      <c r="B5" s="16"/>
    </row>
    <row r="6" spans="2:5">
      <c r="B6" s="16"/>
    </row>
    <row r="7" spans="2:5" ht="21">
      <c r="B7" s="20" t="s">
        <v>13</v>
      </c>
    </row>
    <row r="8" spans="2:5" ht="15.6">
      <c r="B8" s="35" t="s">
        <v>42</v>
      </c>
    </row>
    <row r="10" spans="2:5" ht="16.149999999999999">
      <c r="C10" s="10" t="s">
        <v>43</v>
      </c>
    </row>
    <row r="11" spans="2:5" ht="14.45">
      <c r="C11" s="36" t="s">
        <v>16</v>
      </c>
      <c r="D11" s="37" t="s">
        <v>24</v>
      </c>
      <c r="E11" s="38" t="s">
        <v>22</v>
      </c>
    </row>
    <row r="12" spans="2:5">
      <c r="C12" s="39" t="s">
        <v>25</v>
      </c>
      <c r="D12" s="40" t="s">
        <v>27</v>
      </c>
      <c r="E12" s="41">
        <v>200</v>
      </c>
    </row>
    <row r="13" spans="2:5">
      <c r="C13" s="42" t="s">
        <v>28</v>
      </c>
      <c r="D13" s="43" t="s">
        <v>30</v>
      </c>
      <c r="E13" s="44">
        <v>150</v>
      </c>
    </row>
    <row r="14" spans="2:5" ht="14.45">
      <c r="C14" s="45" t="s">
        <v>32</v>
      </c>
      <c r="D14" s="46" t="s">
        <v>33</v>
      </c>
      <c r="E14" s="47">
        <v>95</v>
      </c>
    </row>
    <row r="17" spans="3:5" ht="16.149999999999999">
      <c r="C17" s="10" t="s">
        <v>44</v>
      </c>
    </row>
    <row r="18" spans="3:5" ht="14.45">
      <c r="C18" s="36" t="s">
        <v>17</v>
      </c>
      <c r="D18" s="37" t="s">
        <v>45</v>
      </c>
    </row>
    <row r="19" spans="3:5">
      <c r="C19" s="39" t="s">
        <v>31</v>
      </c>
      <c r="D19" s="48" t="s">
        <v>46</v>
      </c>
    </row>
    <row r="20" spans="3:5">
      <c r="C20" s="42" t="s">
        <v>29</v>
      </c>
      <c r="D20" s="49" t="s">
        <v>47</v>
      </c>
    </row>
    <row r="21" spans="3:5">
      <c r="C21" s="42" t="s">
        <v>36</v>
      </c>
      <c r="D21" s="49" t="s">
        <v>48</v>
      </c>
    </row>
    <row r="22" spans="3:5">
      <c r="C22" s="42" t="s">
        <v>40</v>
      </c>
      <c r="D22" s="49" t="s">
        <v>49</v>
      </c>
    </row>
    <row r="23" spans="3:5">
      <c r="C23" s="42" t="s">
        <v>26</v>
      </c>
      <c r="D23" s="49" t="s">
        <v>50</v>
      </c>
    </row>
    <row r="24" spans="3:5">
      <c r="C24" s="42" t="s">
        <v>38</v>
      </c>
      <c r="D24" s="49" t="s">
        <v>51</v>
      </c>
    </row>
    <row r="25" spans="3:5">
      <c r="C25" s="42" t="s">
        <v>34</v>
      </c>
      <c r="D25" s="49" t="s">
        <v>52</v>
      </c>
    </row>
    <row r="26" spans="3:5">
      <c r="C26" s="42" t="s">
        <v>39</v>
      </c>
      <c r="D26" s="49" t="s">
        <v>53</v>
      </c>
    </row>
    <row r="27" spans="3:5">
      <c r="C27" s="42" t="s">
        <v>35</v>
      </c>
      <c r="D27" s="49" t="s">
        <v>54</v>
      </c>
    </row>
    <row r="28" spans="3:5" ht="14.45">
      <c r="C28" s="45" t="s">
        <v>37</v>
      </c>
      <c r="D28" s="50" t="s">
        <v>55</v>
      </c>
    </row>
    <row r="29" spans="3:5">
      <c r="C29" s="43"/>
      <c r="D29" s="51"/>
    </row>
    <row r="31" spans="3:5" ht="16.149999999999999">
      <c r="C31" s="10" t="s">
        <v>56</v>
      </c>
    </row>
    <row r="32" spans="3:5" ht="14.45">
      <c r="C32" s="36" t="s">
        <v>15</v>
      </c>
      <c r="D32" s="37" t="s">
        <v>57</v>
      </c>
      <c r="E32" s="52" t="s">
        <v>58</v>
      </c>
    </row>
    <row r="33" spans="3:5">
      <c r="C33" s="53">
        <v>1</v>
      </c>
      <c r="D33" s="40" t="s">
        <v>59</v>
      </c>
      <c r="E33" s="49" t="s">
        <v>27</v>
      </c>
    </row>
    <row r="34" spans="3:5">
      <c r="C34" s="54">
        <v>2</v>
      </c>
      <c r="D34" s="43" t="s">
        <v>60</v>
      </c>
      <c r="E34" s="49" t="s">
        <v>30</v>
      </c>
    </row>
    <row r="35" spans="3:5">
      <c r="C35" s="54">
        <v>3</v>
      </c>
      <c r="D35" s="43" t="s">
        <v>61</v>
      </c>
      <c r="E35" s="49" t="s">
        <v>33</v>
      </c>
    </row>
    <row r="36" spans="3:5">
      <c r="C36" s="54">
        <v>4</v>
      </c>
      <c r="D36" s="43" t="s">
        <v>62</v>
      </c>
      <c r="E36" s="49" t="s">
        <v>27</v>
      </c>
    </row>
    <row r="37" spans="3:5">
      <c r="C37" s="54">
        <v>5</v>
      </c>
      <c r="D37" s="43" t="s">
        <v>63</v>
      </c>
      <c r="E37" s="49" t="s">
        <v>30</v>
      </c>
    </row>
    <row r="38" spans="3:5">
      <c r="C38" s="54">
        <v>6</v>
      </c>
      <c r="D38" s="43" t="s">
        <v>64</v>
      </c>
      <c r="E38" s="49" t="s">
        <v>33</v>
      </c>
    </row>
    <row r="39" spans="3:5">
      <c r="C39" s="54">
        <v>7</v>
      </c>
      <c r="D39" s="43" t="s">
        <v>65</v>
      </c>
      <c r="E39" s="49" t="s">
        <v>27</v>
      </c>
    </row>
    <row r="40" spans="3:5">
      <c r="C40" s="54">
        <v>8</v>
      </c>
      <c r="D40" s="43" t="s">
        <v>66</v>
      </c>
      <c r="E40" s="49" t="s">
        <v>30</v>
      </c>
    </row>
    <row r="41" spans="3:5">
      <c r="C41" s="54">
        <v>9</v>
      </c>
      <c r="D41" s="43" t="s">
        <v>67</v>
      </c>
      <c r="E41" s="49" t="s">
        <v>33</v>
      </c>
    </row>
    <row r="42" spans="3:5">
      <c r="C42" s="54">
        <v>10</v>
      </c>
      <c r="D42" s="43" t="s">
        <v>68</v>
      </c>
      <c r="E42" s="49" t="s">
        <v>27</v>
      </c>
    </row>
    <row r="43" spans="3:5">
      <c r="C43" s="54">
        <v>11</v>
      </c>
      <c r="D43" s="43" t="s">
        <v>69</v>
      </c>
      <c r="E43" s="49" t="s">
        <v>30</v>
      </c>
    </row>
    <row r="44" spans="3:5">
      <c r="C44" s="54">
        <v>12</v>
      </c>
      <c r="D44" s="43" t="s">
        <v>70</v>
      </c>
      <c r="E44" s="49" t="s">
        <v>33</v>
      </c>
    </row>
    <row r="45" spans="3:5">
      <c r="C45" s="54">
        <v>13</v>
      </c>
      <c r="D45" s="43" t="s">
        <v>71</v>
      </c>
      <c r="E45" s="49" t="s">
        <v>27</v>
      </c>
    </row>
    <row r="46" spans="3:5">
      <c r="C46" s="54">
        <v>14</v>
      </c>
      <c r="D46" s="43" t="s">
        <v>72</v>
      </c>
      <c r="E46" s="49" t="s">
        <v>30</v>
      </c>
    </row>
    <row r="47" spans="3:5">
      <c r="C47" s="54">
        <v>15</v>
      </c>
      <c r="D47" s="43" t="s">
        <v>73</v>
      </c>
      <c r="E47" s="49" t="s">
        <v>33</v>
      </c>
    </row>
    <row r="48" spans="3:5">
      <c r="C48" s="54">
        <v>16</v>
      </c>
      <c r="D48" s="43" t="s">
        <v>74</v>
      </c>
      <c r="E48" s="49" t="s">
        <v>27</v>
      </c>
    </row>
    <row r="49" spans="3:5">
      <c r="C49" s="54">
        <v>17</v>
      </c>
      <c r="D49" s="43" t="s">
        <v>75</v>
      </c>
      <c r="E49" s="49" t="s">
        <v>30</v>
      </c>
    </row>
    <row r="50" spans="3:5">
      <c r="C50" s="54">
        <v>18</v>
      </c>
      <c r="D50" s="43" t="s">
        <v>76</v>
      </c>
      <c r="E50" s="49" t="s">
        <v>33</v>
      </c>
    </row>
    <row r="51" spans="3:5">
      <c r="C51" s="54">
        <v>19</v>
      </c>
      <c r="D51" s="43" t="s">
        <v>77</v>
      </c>
      <c r="E51" s="49" t="s">
        <v>27</v>
      </c>
    </row>
    <row r="52" spans="3:5">
      <c r="C52" s="54">
        <v>20</v>
      </c>
      <c r="D52" s="43" t="s">
        <v>78</v>
      </c>
      <c r="E52" s="49" t="s">
        <v>30</v>
      </c>
    </row>
    <row r="53" spans="3:5">
      <c r="C53" s="54">
        <v>21</v>
      </c>
      <c r="D53" s="43" t="s">
        <v>79</v>
      </c>
      <c r="E53" s="49" t="s">
        <v>33</v>
      </c>
    </row>
    <row r="54" spans="3:5">
      <c r="C54" s="54">
        <v>22</v>
      </c>
      <c r="D54" s="43" t="s">
        <v>80</v>
      </c>
      <c r="E54" s="49" t="s">
        <v>27</v>
      </c>
    </row>
    <row r="55" spans="3:5">
      <c r="C55" s="54">
        <v>23</v>
      </c>
      <c r="D55" s="43" t="s">
        <v>81</v>
      </c>
      <c r="E55" s="49" t="s">
        <v>30</v>
      </c>
    </row>
    <row r="56" spans="3:5">
      <c r="C56" s="54">
        <v>24</v>
      </c>
      <c r="D56" s="43" t="s">
        <v>82</v>
      </c>
      <c r="E56" s="49" t="s">
        <v>33</v>
      </c>
    </row>
    <row r="57" spans="3:5">
      <c r="C57" s="54">
        <v>25</v>
      </c>
      <c r="D57" s="43" t="s">
        <v>83</v>
      </c>
      <c r="E57" s="49" t="s">
        <v>27</v>
      </c>
    </row>
    <row r="58" spans="3:5">
      <c r="C58" s="54">
        <v>26</v>
      </c>
      <c r="D58" s="43" t="s">
        <v>84</v>
      </c>
      <c r="E58" s="49" t="s">
        <v>30</v>
      </c>
    </row>
    <row r="59" spans="3:5">
      <c r="C59" s="54">
        <v>27</v>
      </c>
      <c r="D59" s="43" t="s">
        <v>85</v>
      </c>
      <c r="E59" s="49" t="s">
        <v>33</v>
      </c>
    </row>
    <row r="60" spans="3:5">
      <c r="C60" s="54">
        <v>28</v>
      </c>
      <c r="D60" s="43" t="s">
        <v>86</v>
      </c>
      <c r="E60" s="49" t="s">
        <v>27</v>
      </c>
    </row>
    <row r="61" spans="3:5">
      <c r="C61" s="54">
        <v>29</v>
      </c>
      <c r="D61" s="43" t="s">
        <v>87</v>
      </c>
      <c r="E61" s="49" t="s">
        <v>30</v>
      </c>
    </row>
    <row r="62" spans="3:5">
      <c r="C62" s="54">
        <v>30</v>
      </c>
      <c r="D62" s="43" t="s">
        <v>88</v>
      </c>
      <c r="E62" s="49" t="s">
        <v>33</v>
      </c>
    </row>
    <row r="63" spans="3:5">
      <c r="C63" s="54">
        <v>31</v>
      </c>
      <c r="D63" s="43" t="s">
        <v>89</v>
      </c>
      <c r="E63" s="49" t="s">
        <v>27</v>
      </c>
    </row>
    <row r="64" spans="3:5">
      <c r="C64" s="54">
        <v>32</v>
      </c>
      <c r="D64" s="43" t="s">
        <v>90</v>
      </c>
      <c r="E64" s="49" t="s">
        <v>30</v>
      </c>
    </row>
    <row r="65" spans="3:5">
      <c r="C65" s="54">
        <v>33</v>
      </c>
      <c r="D65" s="43" t="s">
        <v>91</v>
      </c>
      <c r="E65" s="49" t="s">
        <v>33</v>
      </c>
    </row>
    <row r="66" spans="3:5">
      <c r="C66" s="54">
        <v>34</v>
      </c>
      <c r="D66" s="43" t="s">
        <v>92</v>
      </c>
      <c r="E66" s="49" t="s">
        <v>27</v>
      </c>
    </row>
    <row r="67" spans="3:5">
      <c r="C67" s="54">
        <v>35</v>
      </c>
      <c r="D67" s="43" t="s">
        <v>93</v>
      </c>
      <c r="E67" s="49" t="s">
        <v>30</v>
      </c>
    </row>
    <row r="68" spans="3:5">
      <c r="C68" s="54">
        <v>36</v>
      </c>
      <c r="D68" s="43" t="s">
        <v>94</v>
      </c>
      <c r="E68" s="49" t="s">
        <v>33</v>
      </c>
    </row>
    <row r="69" spans="3:5">
      <c r="C69" s="54">
        <v>37</v>
      </c>
      <c r="D69" s="43" t="s">
        <v>95</v>
      </c>
      <c r="E69" s="49" t="s">
        <v>27</v>
      </c>
    </row>
    <row r="70" spans="3:5">
      <c r="C70" s="54">
        <v>38</v>
      </c>
      <c r="D70" s="43" t="s">
        <v>96</v>
      </c>
      <c r="E70" s="49" t="s">
        <v>30</v>
      </c>
    </row>
    <row r="71" spans="3:5">
      <c r="C71" s="54">
        <v>39</v>
      </c>
      <c r="D71" s="43" t="s">
        <v>97</v>
      </c>
      <c r="E71" s="49" t="s">
        <v>33</v>
      </c>
    </row>
    <row r="72" spans="3:5" ht="14.45">
      <c r="C72" s="55">
        <v>40</v>
      </c>
      <c r="D72" s="46" t="s">
        <v>98</v>
      </c>
      <c r="E72" s="50" t="s">
        <v>27</v>
      </c>
    </row>
  </sheetData>
  <pageMargins left="0.75" right="0.75" top="1" bottom="1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2:AMJ147"/>
  <sheetViews>
    <sheetView showGridLines="0" topLeftCell="A9" zoomScale="80" zoomScaleNormal="80" workbookViewId="0">
      <selection activeCell="G12" sqref="G12"/>
    </sheetView>
  </sheetViews>
  <sheetFormatPr defaultColWidth="9" defaultRowHeight="13.9"/>
  <cols>
    <col min="1" max="1" width="7.5" style="11" customWidth="1"/>
    <col min="2" max="2" width="22.25" style="11" customWidth="1"/>
    <col min="3" max="3" width="13.75" style="11" customWidth="1"/>
    <col min="4" max="4" width="22.25" style="11" customWidth="1"/>
    <col min="5" max="5" width="10.5" style="11" customWidth="1"/>
    <col min="6" max="6" width="12.375" style="11" customWidth="1"/>
    <col min="7" max="7" width="12.5" style="11" customWidth="1"/>
    <col min="8" max="8" width="9" style="11"/>
    <col min="9" max="9" width="19.625" style="11" customWidth="1"/>
    <col min="10" max="10" width="13.25" style="11" customWidth="1"/>
    <col min="11" max="11" width="9" style="11"/>
    <col min="12" max="12" width="22.25" style="11" customWidth="1"/>
    <col min="13" max="1024" width="9" style="11"/>
  </cols>
  <sheetData>
    <row r="2" spans="2:10">
      <c r="B2" s="16"/>
    </row>
    <row r="3" spans="2:10">
      <c r="B3" s="16" t="s">
        <v>99</v>
      </c>
    </row>
    <row r="5" spans="2:10" ht="14.45"/>
    <row r="6" spans="2:10" ht="97.5" customHeight="1">
      <c r="B6" s="4" t="s">
        <v>13</v>
      </c>
      <c r="C6" s="4"/>
      <c r="D6" s="4"/>
      <c r="E6" s="4"/>
      <c r="F6" s="4"/>
      <c r="G6" s="4"/>
    </row>
    <row r="7" spans="2:10">
      <c r="B7" s="3">
        <f ca="1">NOW()</f>
        <v>44326.669727546294</v>
      </c>
      <c r="C7" s="3"/>
      <c r="D7" s="3"/>
      <c r="E7" s="3"/>
      <c r="F7" s="3"/>
      <c r="G7" s="3"/>
    </row>
    <row r="8" spans="2:10" ht="14.45">
      <c r="B8" s="56"/>
      <c r="C8" s="46"/>
      <c r="D8" s="46"/>
      <c r="E8" s="46"/>
      <c r="F8" s="46"/>
      <c r="G8" s="50"/>
    </row>
    <row r="9" spans="2:10" ht="36.75" customHeight="1">
      <c r="B9" s="57" t="s">
        <v>100</v>
      </c>
      <c r="C9" s="58" t="s">
        <v>15</v>
      </c>
      <c r="D9" s="58" t="s">
        <v>45</v>
      </c>
      <c r="E9" s="58" t="s">
        <v>17</v>
      </c>
      <c r="F9" s="59" t="s">
        <v>18</v>
      </c>
      <c r="G9" s="60" t="s">
        <v>23</v>
      </c>
    </row>
    <row r="10" spans="2:10">
      <c r="B10" s="61" t="s">
        <v>59</v>
      </c>
      <c r="C10" s="24">
        <v>1</v>
      </c>
      <c r="D10" s="62" t="s">
        <v>50</v>
      </c>
      <c r="E10" s="25" t="s">
        <v>26</v>
      </c>
      <c r="F10" s="26">
        <v>41456</v>
      </c>
      <c r="G10" s="30">
        <v>38399.999999999898</v>
      </c>
      <c r="H10"/>
      <c r="I10"/>
      <c r="J10"/>
    </row>
    <row r="11" spans="2:10" ht="14.85">
      <c r="B11" s="63" t="s">
        <v>101</v>
      </c>
      <c r="C11" s="24"/>
      <c r="D11" s="62"/>
      <c r="E11" s="25"/>
      <c r="F11" s="26"/>
      <c r="G11" s="30">
        <f>SUM(G10:G10)</f>
        <v>38399.999999999898</v>
      </c>
      <c r="H11"/>
      <c r="I11"/>
      <c r="J11"/>
    </row>
    <row r="12" spans="2:10">
      <c r="B12" s="62" t="s">
        <v>63</v>
      </c>
      <c r="C12" s="24">
        <v>5</v>
      </c>
      <c r="D12" s="62" t="s">
        <v>52</v>
      </c>
      <c r="E12" s="25" t="s">
        <v>34</v>
      </c>
      <c r="F12" s="26">
        <v>41465</v>
      </c>
      <c r="G12" s="32">
        <v>36000</v>
      </c>
      <c r="H12"/>
      <c r="I12"/>
      <c r="J12"/>
    </row>
    <row r="13" spans="2:10">
      <c r="B13" s="62" t="s">
        <v>63</v>
      </c>
      <c r="C13" s="24">
        <v>5</v>
      </c>
      <c r="D13" s="62" t="s">
        <v>54</v>
      </c>
      <c r="E13" s="25" t="s">
        <v>35</v>
      </c>
      <c r="F13" s="26">
        <v>41466</v>
      </c>
      <c r="G13" s="32">
        <v>40799.999999999898</v>
      </c>
      <c r="H13"/>
      <c r="I13"/>
      <c r="J13"/>
    </row>
    <row r="14" spans="2:10">
      <c r="B14" s="64" t="s">
        <v>102</v>
      </c>
      <c r="C14" s="24"/>
      <c r="D14" s="62"/>
      <c r="E14" s="25"/>
      <c r="F14" s="26"/>
      <c r="G14" s="32">
        <f>SUM(G12:G13)</f>
        <v>76799.999999999898</v>
      </c>
      <c r="H14"/>
      <c r="I14"/>
      <c r="J14"/>
    </row>
    <row r="15" spans="2:10">
      <c r="B15" s="62" t="s">
        <v>67</v>
      </c>
      <c r="C15" s="24">
        <v>9</v>
      </c>
      <c r="D15" s="62" t="s">
        <v>53</v>
      </c>
      <c r="E15" s="25" t="s">
        <v>39</v>
      </c>
      <c r="F15" s="26">
        <v>41472</v>
      </c>
      <c r="G15" s="32">
        <v>38399.999999999898</v>
      </c>
      <c r="H15"/>
      <c r="I15"/>
      <c r="J15"/>
    </row>
    <row r="16" spans="2:10">
      <c r="B16" s="62" t="s">
        <v>67</v>
      </c>
      <c r="C16" s="24">
        <v>9</v>
      </c>
      <c r="D16" s="62" t="s">
        <v>52</v>
      </c>
      <c r="E16" s="25" t="s">
        <v>34</v>
      </c>
      <c r="F16" s="26">
        <v>41471</v>
      </c>
      <c r="G16" s="32">
        <v>31199.999999999902</v>
      </c>
      <c r="H16"/>
      <c r="I16"/>
      <c r="J16"/>
    </row>
    <row r="17" spans="2:10">
      <c r="B17" s="64" t="s">
        <v>103</v>
      </c>
      <c r="C17" s="24"/>
      <c r="D17" s="62"/>
      <c r="E17" s="25"/>
      <c r="F17" s="26"/>
      <c r="G17" s="32">
        <f>SUM(G15:G16)</f>
        <v>69599.999999999796</v>
      </c>
      <c r="H17"/>
      <c r="I17"/>
      <c r="J17"/>
    </row>
    <row r="18" spans="2:10">
      <c r="B18" s="62" t="s">
        <v>69</v>
      </c>
      <c r="C18" s="24">
        <v>11</v>
      </c>
      <c r="D18" s="62" t="s">
        <v>55</v>
      </c>
      <c r="E18" s="25" t="s">
        <v>37</v>
      </c>
      <c r="F18" s="26">
        <v>41467</v>
      </c>
      <c r="G18" s="32">
        <v>19200</v>
      </c>
      <c r="H18"/>
      <c r="I18"/>
      <c r="J18"/>
    </row>
    <row r="19" spans="2:10">
      <c r="B19" s="62" t="s">
        <v>69</v>
      </c>
      <c r="C19" s="24">
        <v>11</v>
      </c>
      <c r="D19" s="62" t="s">
        <v>51</v>
      </c>
      <c r="E19" s="25" t="s">
        <v>38</v>
      </c>
      <c r="F19" s="26">
        <v>41469</v>
      </c>
      <c r="G19" s="32">
        <v>43200</v>
      </c>
      <c r="H19"/>
      <c r="I19"/>
      <c r="J19"/>
    </row>
    <row r="20" spans="2:10">
      <c r="B20" s="62" t="s">
        <v>69</v>
      </c>
      <c r="C20" s="24">
        <v>11</v>
      </c>
      <c r="D20" s="62" t="s">
        <v>46</v>
      </c>
      <c r="E20" s="25" t="s">
        <v>31</v>
      </c>
      <c r="F20" s="26">
        <v>41472</v>
      </c>
      <c r="G20" s="32">
        <v>39600</v>
      </c>
      <c r="H20"/>
      <c r="I20"/>
      <c r="J20"/>
    </row>
    <row r="21" spans="2:10">
      <c r="B21" s="62" t="s">
        <v>69</v>
      </c>
      <c r="C21" s="24">
        <v>11</v>
      </c>
      <c r="D21" s="62" t="s">
        <v>52</v>
      </c>
      <c r="E21" s="25" t="s">
        <v>34</v>
      </c>
      <c r="F21" s="26">
        <v>41473</v>
      </c>
      <c r="G21" s="32">
        <v>47999.999999999898</v>
      </c>
      <c r="H21"/>
      <c r="I21"/>
      <c r="J21"/>
    </row>
    <row r="22" spans="2:10">
      <c r="B22" s="62" t="s">
        <v>69</v>
      </c>
      <c r="C22" s="24">
        <v>11</v>
      </c>
      <c r="D22" s="62" t="s">
        <v>54</v>
      </c>
      <c r="E22" s="25" t="s">
        <v>35</v>
      </c>
      <c r="F22" s="26">
        <v>41476</v>
      </c>
      <c r="G22" s="32">
        <v>14400</v>
      </c>
      <c r="H22"/>
      <c r="I22"/>
      <c r="J22"/>
    </row>
    <row r="23" spans="2:10">
      <c r="B23" s="64" t="s">
        <v>104</v>
      </c>
      <c r="C23" s="24"/>
      <c r="D23" s="62"/>
      <c r="E23" s="25"/>
      <c r="F23" s="26"/>
      <c r="G23" s="32">
        <f>SUM(G18:G22)</f>
        <v>164399.99999999988</v>
      </c>
      <c r="H23"/>
      <c r="I23"/>
      <c r="J23"/>
    </row>
    <row r="24" spans="2:10">
      <c r="B24" s="62" t="s">
        <v>73</v>
      </c>
      <c r="C24" s="24">
        <v>15</v>
      </c>
      <c r="D24" s="62" t="s">
        <v>55</v>
      </c>
      <c r="E24" s="25" t="s">
        <v>37</v>
      </c>
      <c r="F24" s="26">
        <v>41469</v>
      </c>
      <c r="G24" s="65">
        <v>45600</v>
      </c>
      <c r="H24"/>
      <c r="I24"/>
      <c r="J24"/>
    </row>
    <row r="25" spans="2:10">
      <c r="B25" s="62" t="s">
        <v>73</v>
      </c>
      <c r="C25" s="24">
        <v>15</v>
      </c>
      <c r="D25" s="62" t="s">
        <v>55</v>
      </c>
      <c r="E25" s="25" t="s">
        <v>37</v>
      </c>
      <c r="F25" s="26">
        <v>41472</v>
      </c>
      <c r="G25" s="32">
        <v>28800</v>
      </c>
      <c r="H25"/>
      <c r="I25"/>
      <c r="J25"/>
    </row>
    <row r="26" spans="2:10">
      <c r="B26" s="64" t="s">
        <v>105</v>
      </c>
      <c r="C26" s="24"/>
      <c r="D26" s="62"/>
      <c r="E26" s="25"/>
      <c r="F26" s="26"/>
      <c r="G26" s="32">
        <f>SUM(G24:G25)</f>
        <v>74400</v>
      </c>
      <c r="H26"/>
      <c r="I26"/>
      <c r="J26"/>
    </row>
    <row r="27" spans="2:10">
      <c r="B27" s="62" t="s">
        <v>74</v>
      </c>
      <c r="C27" s="24">
        <v>16</v>
      </c>
      <c r="D27" s="62" t="s">
        <v>51</v>
      </c>
      <c r="E27" s="25" t="s">
        <v>38</v>
      </c>
      <c r="F27" s="26">
        <v>41473</v>
      </c>
      <c r="G27" s="32">
        <v>33600.000000000102</v>
      </c>
      <c r="H27"/>
      <c r="I27"/>
      <c r="J27"/>
    </row>
    <row r="28" spans="2:10">
      <c r="B28" s="62" t="s">
        <v>74</v>
      </c>
      <c r="C28" s="24">
        <v>16</v>
      </c>
      <c r="D28" s="62" t="s">
        <v>50</v>
      </c>
      <c r="E28" s="25" t="s">
        <v>26</v>
      </c>
      <c r="F28" s="26">
        <v>41474</v>
      </c>
      <c r="G28" s="32">
        <v>24000</v>
      </c>
      <c r="H28"/>
      <c r="I28"/>
      <c r="J28"/>
    </row>
    <row r="29" spans="2:10">
      <c r="B29" s="64" t="s">
        <v>106</v>
      </c>
      <c r="C29" s="24"/>
      <c r="D29" s="62"/>
      <c r="E29" s="25"/>
      <c r="F29" s="26"/>
      <c r="G29" s="32">
        <f>SUM(G27:G28)</f>
        <v>57600.000000000102</v>
      </c>
      <c r="H29"/>
      <c r="I29"/>
      <c r="J29"/>
    </row>
    <row r="30" spans="2:10">
      <c r="B30" s="62" t="s">
        <v>78</v>
      </c>
      <c r="C30" s="24">
        <v>20</v>
      </c>
      <c r="D30" s="62" t="s">
        <v>51</v>
      </c>
      <c r="E30" s="25" t="s">
        <v>38</v>
      </c>
      <c r="F30" s="26">
        <v>41478</v>
      </c>
      <c r="G30" s="32">
        <v>32400</v>
      </c>
      <c r="H30"/>
      <c r="I30"/>
      <c r="J30"/>
    </row>
    <row r="31" spans="2:10">
      <c r="B31" s="62" t="s">
        <v>78</v>
      </c>
      <c r="C31" s="24">
        <v>20</v>
      </c>
      <c r="D31" s="62" t="s">
        <v>54</v>
      </c>
      <c r="E31" s="25" t="s">
        <v>35</v>
      </c>
      <c r="F31" s="26">
        <v>41479</v>
      </c>
      <c r="G31" s="32">
        <v>38399.999999999898</v>
      </c>
      <c r="H31"/>
      <c r="I31"/>
      <c r="J31"/>
    </row>
    <row r="32" spans="2:10">
      <c r="B32" s="64" t="s">
        <v>107</v>
      </c>
      <c r="C32" s="24"/>
      <c r="D32" s="62"/>
      <c r="E32" s="25"/>
      <c r="F32" s="26"/>
      <c r="G32" s="32">
        <f>SUM(G30:G31)</f>
        <v>70799.999999999898</v>
      </c>
      <c r="H32"/>
      <c r="I32"/>
      <c r="J32"/>
    </row>
    <row r="33" spans="2:10">
      <c r="B33" s="62" t="s">
        <v>87</v>
      </c>
      <c r="C33" s="24">
        <v>29</v>
      </c>
      <c r="D33" s="62" t="s">
        <v>51</v>
      </c>
      <c r="E33" s="25" t="s">
        <v>38</v>
      </c>
      <c r="F33" s="26">
        <v>41473</v>
      </c>
      <c r="G33" s="32">
        <v>34800.000000000102</v>
      </c>
      <c r="H33"/>
      <c r="I33"/>
      <c r="J33"/>
    </row>
    <row r="34" spans="2:10">
      <c r="B34" s="62" t="s">
        <v>87</v>
      </c>
      <c r="C34" s="24">
        <v>29</v>
      </c>
      <c r="D34" s="62" t="s">
        <v>50</v>
      </c>
      <c r="E34" s="25" t="s">
        <v>26</v>
      </c>
      <c r="F34" s="26">
        <v>41474</v>
      </c>
      <c r="G34" s="32">
        <v>14400</v>
      </c>
      <c r="H34"/>
      <c r="I34"/>
      <c r="J34"/>
    </row>
    <row r="35" spans="2:10">
      <c r="B35" s="62" t="s">
        <v>87</v>
      </c>
      <c r="C35" s="24">
        <v>29</v>
      </c>
      <c r="D35" s="62" t="s">
        <v>47</v>
      </c>
      <c r="E35" s="25" t="s">
        <v>29</v>
      </c>
      <c r="F35" s="26">
        <v>41484</v>
      </c>
      <c r="G35" s="32">
        <v>45600</v>
      </c>
      <c r="H35"/>
      <c r="I35"/>
      <c r="J35"/>
    </row>
    <row r="36" spans="2:10">
      <c r="B36" s="64" t="s">
        <v>108</v>
      </c>
      <c r="C36" s="24"/>
      <c r="D36" s="62"/>
      <c r="E36" s="25"/>
      <c r="F36" s="26"/>
      <c r="G36" s="32">
        <f>SUM(G33:G35)</f>
        <v>94800.000000000102</v>
      </c>
      <c r="H36"/>
      <c r="I36"/>
      <c r="J36"/>
    </row>
    <row r="37" spans="2:10">
      <c r="B37" s="62" t="s">
        <v>88</v>
      </c>
      <c r="C37" s="24">
        <v>30</v>
      </c>
      <c r="D37" s="62" t="s">
        <v>46</v>
      </c>
      <c r="E37" s="25" t="s">
        <v>31</v>
      </c>
      <c r="F37" s="26">
        <v>41483</v>
      </c>
      <c r="G37" s="32">
        <v>15599.9999999999</v>
      </c>
      <c r="H37"/>
      <c r="I37"/>
      <c r="J37"/>
    </row>
    <row r="38" spans="2:10">
      <c r="B38" s="62" t="s">
        <v>88</v>
      </c>
      <c r="C38" s="24">
        <v>30</v>
      </c>
      <c r="D38" s="62" t="s">
        <v>52</v>
      </c>
      <c r="E38" s="25" t="s">
        <v>34</v>
      </c>
      <c r="F38" s="26">
        <v>41484</v>
      </c>
      <c r="G38" s="32">
        <v>24000.000000000098</v>
      </c>
      <c r="H38"/>
      <c r="I38"/>
      <c r="J38"/>
    </row>
    <row r="39" spans="2:10">
      <c r="B39" s="64" t="s">
        <v>109</v>
      </c>
      <c r="C39" s="24"/>
      <c r="D39" s="62"/>
      <c r="E39" s="25"/>
      <c r="F39" s="26"/>
      <c r="G39" s="32">
        <f>SUM(G37:G38)</f>
        <v>39600</v>
      </c>
      <c r="H39"/>
      <c r="I39"/>
      <c r="J39"/>
    </row>
    <row r="40" spans="2:10">
      <c r="B40" s="62" t="s">
        <v>91</v>
      </c>
      <c r="C40" s="24">
        <v>33</v>
      </c>
      <c r="D40" s="62" t="s">
        <v>50</v>
      </c>
      <c r="E40" s="25" t="s">
        <v>26</v>
      </c>
      <c r="F40" s="26">
        <v>41477</v>
      </c>
      <c r="G40" s="32">
        <v>60000</v>
      </c>
      <c r="H40"/>
      <c r="I40"/>
      <c r="J40"/>
    </row>
    <row r="41" spans="2:10">
      <c r="B41" s="62" t="s">
        <v>91</v>
      </c>
      <c r="C41" s="24">
        <v>33</v>
      </c>
      <c r="D41" s="62" t="s">
        <v>47</v>
      </c>
      <c r="E41" s="25" t="s">
        <v>29</v>
      </c>
      <c r="F41" s="26">
        <v>41478</v>
      </c>
      <c r="G41" s="32">
        <v>43200</v>
      </c>
      <c r="H41"/>
      <c r="I41"/>
      <c r="J41"/>
    </row>
    <row r="42" spans="2:10">
      <c r="B42" s="62" t="s">
        <v>91</v>
      </c>
      <c r="C42" s="24">
        <v>33</v>
      </c>
      <c r="D42" s="62" t="s">
        <v>46</v>
      </c>
      <c r="E42" s="25" t="s">
        <v>31</v>
      </c>
      <c r="F42" s="26">
        <v>41482</v>
      </c>
      <c r="G42" s="32">
        <v>48000</v>
      </c>
      <c r="H42"/>
      <c r="I42"/>
      <c r="J42"/>
    </row>
    <row r="43" spans="2:10">
      <c r="B43" s="62" t="s">
        <v>91</v>
      </c>
      <c r="C43" s="24">
        <v>33</v>
      </c>
      <c r="D43" s="62" t="s">
        <v>52</v>
      </c>
      <c r="E43" s="25" t="s">
        <v>34</v>
      </c>
      <c r="F43" s="26">
        <v>41483</v>
      </c>
      <c r="G43" s="32">
        <v>49200</v>
      </c>
      <c r="H43"/>
      <c r="I43"/>
      <c r="J43"/>
    </row>
    <row r="44" spans="2:10">
      <c r="B44" s="62" t="s">
        <v>91</v>
      </c>
      <c r="C44" s="24">
        <v>33</v>
      </c>
      <c r="D44" s="62" t="s">
        <v>54</v>
      </c>
      <c r="E44" s="25" t="s">
        <v>35</v>
      </c>
      <c r="F44" s="26">
        <v>41484</v>
      </c>
      <c r="G44" s="32">
        <v>44399.999999999898</v>
      </c>
      <c r="H44"/>
      <c r="I44"/>
      <c r="J44"/>
    </row>
    <row r="45" spans="2:10">
      <c r="B45" s="62" t="s">
        <v>91</v>
      </c>
      <c r="C45" s="24">
        <v>33</v>
      </c>
      <c r="D45" s="62" t="s">
        <v>48</v>
      </c>
      <c r="E45" s="25" t="s">
        <v>36</v>
      </c>
      <c r="F45" s="26">
        <v>41486</v>
      </c>
      <c r="G45" s="32">
        <v>43200</v>
      </c>
      <c r="H45"/>
      <c r="I45"/>
      <c r="J45"/>
    </row>
    <row r="46" spans="2:10">
      <c r="B46" s="64" t="s">
        <v>110</v>
      </c>
      <c r="C46" s="24"/>
      <c r="D46" s="62"/>
      <c r="E46" s="25"/>
      <c r="F46" s="26"/>
      <c r="G46" s="32">
        <f>SUM(G40:G45)</f>
        <v>287999.99999999988</v>
      </c>
      <c r="H46"/>
      <c r="I46"/>
      <c r="J46"/>
    </row>
    <row r="47" spans="2:10">
      <c r="B47" s="62" t="s">
        <v>92</v>
      </c>
      <c r="C47" s="24">
        <v>34</v>
      </c>
      <c r="D47" s="62" t="s">
        <v>55</v>
      </c>
      <c r="E47" s="25" t="s">
        <v>37</v>
      </c>
      <c r="F47" s="26">
        <v>41467</v>
      </c>
      <c r="G47" s="32">
        <v>57600</v>
      </c>
      <c r="H47"/>
      <c r="I47"/>
      <c r="J47"/>
    </row>
    <row r="48" spans="2:10">
      <c r="B48" s="62" t="s">
        <v>92</v>
      </c>
      <c r="C48" s="24">
        <v>34</v>
      </c>
      <c r="D48" s="62" t="s">
        <v>51</v>
      </c>
      <c r="E48" s="25" t="s">
        <v>38</v>
      </c>
      <c r="F48" s="26">
        <v>41468</v>
      </c>
      <c r="G48" s="32">
        <v>57600</v>
      </c>
      <c r="H48"/>
      <c r="I48"/>
      <c r="J48"/>
    </row>
    <row r="49" spans="2:10">
      <c r="B49" s="62" t="s">
        <v>92</v>
      </c>
      <c r="C49" s="24">
        <v>34</v>
      </c>
      <c r="D49" s="62" t="s">
        <v>53</v>
      </c>
      <c r="E49" s="25" t="s">
        <v>39</v>
      </c>
      <c r="F49" s="26">
        <v>41469</v>
      </c>
      <c r="G49" s="32">
        <v>62400</v>
      </c>
      <c r="H49"/>
      <c r="I49"/>
      <c r="J49"/>
    </row>
    <row r="50" spans="2:10" ht="14.1">
      <c r="B50" s="62" t="s">
        <v>92</v>
      </c>
      <c r="C50" s="24">
        <v>34</v>
      </c>
      <c r="D50" s="62" t="s">
        <v>49</v>
      </c>
      <c r="E50" s="25" t="s">
        <v>40</v>
      </c>
      <c r="F50" s="26">
        <v>41485</v>
      </c>
      <c r="G50" s="32">
        <v>26399.999999999902</v>
      </c>
      <c r="H50"/>
      <c r="I50"/>
      <c r="J50"/>
    </row>
    <row r="51" spans="2:10">
      <c r="B51" s="62" t="s">
        <v>92</v>
      </c>
      <c r="C51" s="24">
        <v>34</v>
      </c>
      <c r="D51" s="62" t="s">
        <v>52</v>
      </c>
      <c r="E51" s="25" t="s">
        <v>34</v>
      </c>
      <c r="F51" s="26">
        <v>41486</v>
      </c>
      <c r="G51" s="32">
        <v>9599.9999999999509</v>
      </c>
      <c r="H51"/>
      <c r="I51"/>
      <c r="J51"/>
    </row>
    <row r="52" spans="2:10">
      <c r="B52" s="64" t="s">
        <v>111</v>
      </c>
      <c r="C52" s="24"/>
      <c r="D52" s="62"/>
      <c r="E52" s="25"/>
      <c r="F52" s="26"/>
      <c r="G52" s="32">
        <f>SUM(G47:G51)</f>
        <v>213599.99999999985</v>
      </c>
      <c r="H52"/>
      <c r="I52"/>
      <c r="J52"/>
    </row>
    <row r="53" spans="2:10">
      <c r="B53" s="62" t="s">
        <v>95</v>
      </c>
      <c r="C53" s="24">
        <v>37</v>
      </c>
      <c r="D53" s="62" t="s">
        <v>50</v>
      </c>
      <c r="E53" s="25" t="s">
        <v>26</v>
      </c>
      <c r="F53" s="26">
        <v>41473</v>
      </c>
      <c r="G53" s="32">
        <v>38399.999999999898</v>
      </c>
      <c r="H53"/>
      <c r="I53"/>
      <c r="J53"/>
    </row>
    <row r="54" spans="2:10">
      <c r="B54" s="62" t="s">
        <v>95</v>
      </c>
      <c r="C54" s="24">
        <v>37</v>
      </c>
      <c r="D54" s="62" t="s">
        <v>47</v>
      </c>
      <c r="E54" s="25" t="s">
        <v>29</v>
      </c>
      <c r="F54" s="26">
        <v>41474</v>
      </c>
      <c r="G54" s="32">
        <v>64800</v>
      </c>
      <c r="H54"/>
      <c r="I54"/>
      <c r="J54"/>
    </row>
    <row r="55" spans="2:10">
      <c r="B55" s="64" t="s">
        <v>112</v>
      </c>
      <c r="C55" s="24"/>
      <c r="D55" s="62"/>
      <c r="E55" s="25"/>
      <c r="F55" s="26"/>
      <c r="G55" s="32">
        <f>SUM(G53:G54)</f>
        <v>103199.9999999999</v>
      </c>
      <c r="H55"/>
      <c r="I55"/>
      <c r="J55"/>
    </row>
    <row r="56" spans="2:10">
      <c r="B56" s="62" t="s">
        <v>96</v>
      </c>
      <c r="C56" s="24">
        <v>38</v>
      </c>
      <c r="D56" s="62" t="s">
        <v>46</v>
      </c>
      <c r="E56" s="25" t="s">
        <v>31</v>
      </c>
      <c r="F56" s="26">
        <v>41482</v>
      </c>
      <c r="G56" s="32">
        <v>60000</v>
      </c>
      <c r="H56"/>
      <c r="I56"/>
      <c r="J56"/>
    </row>
    <row r="57" spans="2:10">
      <c r="B57" s="62" t="s">
        <v>96</v>
      </c>
      <c r="C57" s="24">
        <v>38</v>
      </c>
      <c r="D57" s="62" t="s">
        <v>52</v>
      </c>
      <c r="E57" s="25" t="s">
        <v>34</v>
      </c>
      <c r="F57" s="26">
        <v>41481</v>
      </c>
      <c r="G57" s="32">
        <v>24000</v>
      </c>
      <c r="H57"/>
      <c r="I57"/>
      <c r="J57"/>
    </row>
    <row r="58" spans="2:10">
      <c r="B58" s="64" t="s">
        <v>113</v>
      </c>
      <c r="C58" s="24"/>
      <c r="D58" s="62"/>
      <c r="E58" s="25"/>
      <c r="F58" s="26"/>
      <c r="G58" s="32" t="s">
        <v>114</v>
      </c>
      <c r="H58"/>
      <c r="I58"/>
      <c r="J58"/>
    </row>
    <row r="59" spans="2:10">
      <c r="B59" s="66" t="s">
        <v>115</v>
      </c>
      <c r="C59" s="67"/>
      <c r="D59" s="67"/>
      <c r="E59" s="67"/>
      <c r="F59" s="67"/>
      <c r="G59" s="68">
        <f>SUM(G10:G57)</f>
        <v>2666399.9999999991</v>
      </c>
    </row>
    <row r="60" spans="2:10">
      <c r="B60" s="67"/>
      <c r="C60" s="67"/>
      <c r="D60" s="67"/>
      <c r="E60" s="67"/>
      <c r="F60" s="67"/>
      <c r="G60" s="67"/>
    </row>
    <row r="61" spans="2:10">
      <c r="B61" s="67"/>
      <c r="C61" s="67"/>
      <c r="D61" s="67"/>
      <c r="E61" s="67"/>
      <c r="F61" s="67"/>
      <c r="G61" s="67"/>
    </row>
    <row r="62" spans="2:10">
      <c r="B62" s="67"/>
      <c r="C62" s="67"/>
      <c r="D62" s="67"/>
      <c r="E62" s="67"/>
      <c r="F62" s="67"/>
      <c r="G62" s="67"/>
    </row>
    <row r="63" spans="2:10">
      <c r="B63" s="67"/>
      <c r="C63" s="67"/>
      <c r="D63" s="67"/>
      <c r="E63" s="67"/>
      <c r="F63" s="67"/>
      <c r="G63" s="67"/>
    </row>
    <row r="64" spans="2:10">
      <c r="B64" s="67"/>
      <c r="C64" s="67"/>
      <c r="D64" s="67"/>
      <c r="E64" s="67"/>
      <c r="F64" s="67"/>
      <c r="G64" s="67"/>
    </row>
    <row r="65" spans="2:7">
      <c r="B65" s="67"/>
      <c r="C65" s="67"/>
      <c r="D65" s="67"/>
      <c r="E65" s="67"/>
      <c r="F65" s="67"/>
      <c r="G65" s="67"/>
    </row>
    <row r="66" spans="2:7">
      <c r="B66" s="67"/>
      <c r="C66" s="67"/>
      <c r="D66" s="67"/>
      <c r="E66" s="67"/>
      <c r="F66" s="67"/>
      <c r="G66" s="67"/>
    </row>
    <row r="67" spans="2:7">
      <c r="B67" s="67"/>
      <c r="C67" s="67"/>
      <c r="D67" s="67"/>
      <c r="E67" s="67"/>
      <c r="F67" s="67"/>
      <c r="G67" s="67"/>
    </row>
    <row r="68" spans="2:7">
      <c r="B68" s="67"/>
      <c r="C68" s="67"/>
      <c r="D68" s="67"/>
      <c r="E68" s="67"/>
      <c r="F68" s="67"/>
      <c r="G68" s="67"/>
    </row>
    <row r="69" spans="2:7">
      <c r="B69" s="67"/>
      <c r="C69" s="67"/>
      <c r="D69" s="67"/>
      <c r="E69" s="67"/>
      <c r="F69" s="67"/>
      <c r="G69" s="67"/>
    </row>
    <row r="70" spans="2:7">
      <c r="B70" s="67"/>
      <c r="C70" s="67"/>
      <c r="D70" s="67"/>
      <c r="E70" s="67"/>
      <c r="F70" s="67"/>
      <c r="G70" s="67"/>
    </row>
    <row r="71" spans="2:7">
      <c r="B71" s="67"/>
      <c r="C71" s="67"/>
      <c r="D71" s="67"/>
      <c r="E71" s="67"/>
      <c r="F71" s="67"/>
      <c r="G71" s="67"/>
    </row>
    <row r="72" spans="2:7">
      <c r="B72" s="67"/>
      <c r="C72" s="67"/>
      <c r="D72" s="67"/>
      <c r="E72" s="67"/>
      <c r="F72" s="67"/>
      <c r="G72" s="67"/>
    </row>
    <row r="73" spans="2:7">
      <c r="B73" s="67"/>
      <c r="C73" s="67"/>
      <c r="D73" s="67"/>
      <c r="E73" s="67"/>
      <c r="F73" s="67"/>
      <c r="G73" s="67"/>
    </row>
    <row r="74" spans="2:7">
      <c r="B74" s="67"/>
      <c r="C74" s="67"/>
      <c r="D74" s="67"/>
      <c r="E74" s="67"/>
      <c r="F74" s="67"/>
      <c r="G74" s="67"/>
    </row>
    <row r="75" spans="2:7">
      <c r="B75" s="67"/>
      <c r="C75" s="67"/>
      <c r="D75" s="67"/>
      <c r="E75" s="67"/>
      <c r="F75" s="67"/>
      <c r="G75" s="67"/>
    </row>
    <row r="76" spans="2:7">
      <c r="B76" s="67"/>
      <c r="C76" s="67"/>
      <c r="D76" s="67"/>
      <c r="E76" s="67"/>
      <c r="F76" s="67"/>
      <c r="G76" s="67"/>
    </row>
    <row r="77" spans="2:7">
      <c r="B77" s="67"/>
      <c r="C77" s="67"/>
      <c r="D77" s="67"/>
      <c r="E77" s="67"/>
      <c r="F77" s="67"/>
      <c r="G77" s="67"/>
    </row>
    <row r="78" spans="2:7">
      <c r="B78" s="67"/>
      <c r="C78" s="67"/>
      <c r="D78" s="67"/>
      <c r="E78" s="67"/>
      <c r="F78" s="67"/>
      <c r="G78" s="67"/>
    </row>
    <row r="79" spans="2:7">
      <c r="B79" s="67"/>
      <c r="C79" s="67"/>
      <c r="D79" s="67"/>
      <c r="E79" s="67"/>
      <c r="F79" s="67"/>
      <c r="G79" s="67"/>
    </row>
    <row r="80" spans="2:7">
      <c r="B80" s="67"/>
      <c r="C80" s="67"/>
      <c r="D80" s="67"/>
      <c r="E80" s="67"/>
      <c r="F80" s="67"/>
      <c r="G80" s="67"/>
    </row>
    <row r="81" spans="2:7">
      <c r="B81" s="67"/>
      <c r="C81" s="67"/>
      <c r="D81" s="67"/>
      <c r="E81" s="67"/>
      <c r="F81" s="67"/>
      <c r="G81" s="67"/>
    </row>
    <row r="82" spans="2:7">
      <c r="B82" s="67"/>
      <c r="C82" s="67"/>
      <c r="D82" s="67"/>
      <c r="E82" s="67"/>
      <c r="F82" s="67"/>
      <c r="G82" s="67"/>
    </row>
    <row r="83" spans="2:7">
      <c r="B83" s="67"/>
      <c r="C83" s="67"/>
      <c r="D83" s="67"/>
      <c r="E83" s="67"/>
      <c r="F83" s="67"/>
      <c r="G83" s="67"/>
    </row>
    <row r="84" spans="2:7">
      <c r="B84" s="67"/>
      <c r="C84" s="67"/>
      <c r="D84" s="67"/>
      <c r="E84" s="67"/>
      <c r="F84" s="67"/>
      <c r="G84" s="67"/>
    </row>
    <row r="85" spans="2:7">
      <c r="B85" s="67"/>
      <c r="C85" s="67"/>
      <c r="D85" s="67"/>
      <c r="E85" s="67"/>
      <c r="F85" s="67"/>
      <c r="G85" s="67"/>
    </row>
    <row r="86" spans="2:7">
      <c r="B86" s="67"/>
      <c r="C86" s="67"/>
      <c r="D86" s="67"/>
      <c r="E86" s="67"/>
      <c r="F86" s="67"/>
      <c r="G86" s="67"/>
    </row>
    <row r="87" spans="2:7">
      <c r="B87" s="67"/>
      <c r="C87" s="67"/>
      <c r="D87" s="67"/>
      <c r="E87" s="67"/>
      <c r="F87" s="67"/>
      <c r="G87" s="67"/>
    </row>
    <row r="88" spans="2:7">
      <c r="B88" s="67"/>
      <c r="C88" s="67"/>
      <c r="D88" s="67"/>
      <c r="E88" s="67"/>
      <c r="F88" s="67"/>
      <c r="G88" s="67"/>
    </row>
    <row r="89" spans="2:7">
      <c r="B89" s="67"/>
      <c r="C89" s="67"/>
      <c r="D89" s="67"/>
      <c r="E89" s="67"/>
      <c r="F89" s="67"/>
      <c r="G89" s="67"/>
    </row>
    <row r="90" spans="2:7">
      <c r="B90" s="67"/>
      <c r="C90" s="67"/>
      <c r="D90" s="67"/>
      <c r="E90" s="67"/>
      <c r="F90" s="67"/>
      <c r="G90" s="67"/>
    </row>
    <row r="91" spans="2:7">
      <c r="B91" s="67"/>
      <c r="C91" s="67"/>
      <c r="D91" s="67"/>
      <c r="E91" s="67"/>
      <c r="F91" s="67"/>
      <c r="G91" s="67"/>
    </row>
    <row r="92" spans="2:7">
      <c r="B92" s="67"/>
      <c r="C92" s="67"/>
      <c r="D92" s="67"/>
      <c r="E92" s="67"/>
      <c r="F92" s="67"/>
      <c r="G92" s="67"/>
    </row>
    <row r="93" spans="2:7">
      <c r="B93" s="67"/>
      <c r="C93" s="67"/>
      <c r="D93" s="67"/>
      <c r="E93" s="67"/>
      <c r="F93" s="67"/>
      <c r="G93" s="67"/>
    </row>
    <row r="94" spans="2:7">
      <c r="B94" s="67"/>
      <c r="C94" s="67"/>
      <c r="D94" s="67"/>
      <c r="E94" s="67"/>
      <c r="F94" s="67"/>
      <c r="G94" s="67"/>
    </row>
    <row r="95" spans="2:7">
      <c r="B95" s="67"/>
      <c r="C95" s="67"/>
      <c r="D95" s="67"/>
      <c r="E95" s="67"/>
      <c r="F95" s="67"/>
      <c r="G95" s="67"/>
    </row>
    <row r="96" spans="2:7">
      <c r="B96" s="67"/>
      <c r="C96" s="67"/>
      <c r="D96" s="67"/>
      <c r="E96" s="67"/>
      <c r="F96" s="67"/>
      <c r="G96" s="67"/>
    </row>
    <row r="97" spans="2:7">
      <c r="B97" s="67"/>
      <c r="C97" s="67"/>
      <c r="D97" s="67"/>
      <c r="E97" s="67"/>
      <c r="F97" s="67"/>
      <c r="G97" s="67"/>
    </row>
    <row r="98" spans="2:7">
      <c r="B98" s="67"/>
      <c r="C98" s="67"/>
      <c r="D98" s="67"/>
      <c r="E98" s="67"/>
      <c r="F98" s="67"/>
      <c r="G98" s="67"/>
    </row>
    <row r="99" spans="2:7">
      <c r="B99" s="67"/>
      <c r="C99" s="67"/>
      <c r="D99" s="67"/>
      <c r="E99" s="67"/>
      <c r="F99" s="67"/>
      <c r="G99" s="67"/>
    </row>
    <row r="100" spans="2:7">
      <c r="B100" s="67"/>
      <c r="C100" s="67"/>
      <c r="D100" s="67"/>
      <c r="E100" s="67"/>
      <c r="F100" s="67"/>
      <c r="G100" s="67"/>
    </row>
    <row r="101" spans="2:7">
      <c r="B101" s="67"/>
      <c r="C101" s="67"/>
      <c r="D101" s="67"/>
      <c r="E101" s="67"/>
      <c r="F101" s="67"/>
      <c r="G101" s="67"/>
    </row>
    <row r="102" spans="2:7">
      <c r="B102" s="67"/>
      <c r="C102" s="67"/>
      <c r="D102" s="67"/>
      <c r="E102" s="67"/>
      <c r="F102" s="67"/>
      <c r="G102" s="67"/>
    </row>
    <row r="103" spans="2:7">
      <c r="B103" s="67"/>
      <c r="C103" s="67"/>
      <c r="D103" s="67"/>
      <c r="E103" s="67"/>
      <c r="F103" s="67"/>
      <c r="G103" s="67"/>
    </row>
    <row r="104" spans="2:7">
      <c r="B104" s="67"/>
      <c r="C104" s="67"/>
      <c r="D104" s="67"/>
      <c r="E104" s="67"/>
      <c r="F104" s="67"/>
      <c r="G104" s="67"/>
    </row>
    <row r="105" spans="2:7">
      <c r="B105" s="67"/>
      <c r="C105" s="67"/>
      <c r="D105" s="67"/>
      <c r="E105" s="67"/>
      <c r="F105" s="67"/>
      <c r="G105" s="67"/>
    </row>
    <row r="106" spans="2:7">
      <c r="B106" s="67"/>
      <c r="C106" s="67"/>
      <c r="D106" s="67"/>
      <c r="E106" s="67"/>
      <c r="F106" s="67"/>
      <c r="G106" s="67"/>
    </row>
    <row r="107" spans="2:7">
      <c r="B107" s="67"/>
      <c r="C107" s="67"/>
      <c r="D107" s="67"/>
      <c r="E107" s="67"/>
      <c r="F107" s="67"/>
      <c r="G107" s="67"/>
    </row>
    <row r="108" spans="2:7">
      <c r="B108" s="67"/>
      <c r="C108" s="67"/>
      <c r="D108" s="67"/>
      <c r="E108" s="67"/>
      <c r="F108" s="67"/>
      <c r="G108" s="67"/>
    </row>
    <row r="109" spans="2:7">
      <c r="B109" s="67"/>
      <c r="C109" s="67"/>
      <c r="D109" s="67"/>
      <c r="E109" s="67"/>
      <c r="F109" s="67"/>
      <c r="G109" s="67"/>
    </row>
    <row r="110" spans="2:7">
      <c r="B110" s="67"/>
      <c r="C110" s="67"/>
      <c r="D110" s="67"/>
      <c r="E110" s="67"/>
      <c r="F110" s="67"/>
      <c r="G110" s="67"/>
    </row>
    <row r="111" spans="2:7">
      <c r="B111" s="67"/>
      <c r="C111" s="67"/>
      <c r="D111" s="67"/>
      <c r="E111" s="67"/>
      <c r="F111" s="67"/>
      <c r="G111" s="67"/>
    </row>
    <row r="112" spans="2:7">
      <c r="B112" s="67"/>
      <c r="C112" s="67"/>
      <c r="D112" s="67"/>
      <c r="E112" s="67"/>
      <c r="F112" s="67"/>
      <c r="G112" s="67"/>
    </row>
    <row r="113" spans="2:7">
      <c r="B113" s="67"/>
      <c r="C113" s="67"/>
      <c r="D113" s="67"/>
      <c r="E113" s="67"/>
      <c r="F113" s="67"/>
      <c r="G113" s="67"/>
    </row>
    <row r="114" spans="2:7">
      <c r="B114" s="67"/>
      <c r="C114" s="67"/>
      <c r="D114" s="67"/>
      <c r="E114" s="67"/>
      <c r="F114" s="67"/>
      <c r="G114" s="67"/>
    </row>
    <row r="115" spans="2:7">
      <c r="B115" s="67"/>
      <c r="C115" s="67"/>
      <c r="D115" s="67"/>
      <c r="E115" s="67"/>
      <c r="F115" s="67"/>
      <c r="G115" s="67"/>
    </row>
    <row r="116" spans="2:7">
      <c r="B116" s="67"/>
      <c r="C116" s="67"/>
      <c r="D116" s="67"/>
      <c r="E116" s="67"/>
      <c r="F116" s="67"/>
      <c r="G116" s="67"/>
    </row>
    <row r="117" spans="2:7">
      <c r="B117" s="67"/>
      <c r="C117" s="67"/>
      <c r="D117" s="67"/>
      <c r="E117" s="67"/>
      <c r="F117" s="67"/>
      <c r="G117" s="67"/>
    </row>
    <row r="118" spans="2:7">
      <c r="B118" s="67"/>
      <c r="C118" s="67"/>
      <c r="D118" s="67"/>
      <c r="E118" s="67"/>
      <c r="F118" s="67"/>
      <c r="G118" s="67"/>
    </row>
    <row r="119" spans="2:7">
      <c r="B119" s="67"/>
      <c r="C119" s="67"/>
      <c r="D119" s="67"/>
      <c r="E119" s="67"/>
      <c r="F119" s="67"/>
      <c r="G119" s="67"/>
    </row>
    <row r="120" spans="2:7">
      <c r="B120" s="67"/>
      <c r="C120" s="67"/>
      <c r="D120" s="67"/>
      <c r="E120" s="67"/>
      <c r="F120" s="67"/>
      <c r="G120" s="67"/>
    </row>
    <row r="121" spans="2:7">
      <c r="B121" s="67"/>
      <c r="C121" s="67"/>
      <c r="D121" s="67"/>
      <c r="E121" s="67"/>
      <c r="F121" s="67"/>
      <c r="G121" s="67"/>
    </row>
    <row r="122" spans="2:7">
      <c r="B122" s="67"/>
      <c r="C122" s="67"/>
      <c r="D122" s="67"/>
      <c r="E122" s="67"/>
      <c r="F122" s="67"/>
      <c r="G122" s="67"/>
    </row>
    <row r="123" spans="2:7">
      <c r="B123" s="67"/>
      <c r="C123" s="67"/>
      <c r="D123" s="67"/>
      <c r="E123" s="67"/>
      <c r="F123" s="67"/>
      <c r="G123" s="67"/>
    </row>
    <row r="124" spans="2:7">
      <c r="B124" s="67"/>
      <c r="C124" s="67"/>
      <c r="D124" s="67"/>
      <c r="E124" s="67"/>
      <c r="F124" s="67"/>
      <c r="G124" s="67"/>
    </row>
    <row r="125" spans="2:7">
      <c r="B125" s="67"/>
      <c r="C125" s="67"/>
      <c r="D125" s="67"/>
      <c r="E125" s="67"/>
      <c r="F125" s="67"/>
      <c r="G125" s="67"/>
    </row>
    <row r="126" spans="2:7">
      <c r="B126" s="67"/>
      <c r="C126" s="67"/>
      <c r="D126" s="67"/>
      <c r="E126" s="67"/>
      <c r="F126" s="67"/>
      <c r="G126" s="67"/>
    </row>
    <row r="127" spans="2:7">
      <c r="B127" s="67"/>
      <c r="C127" s="67"/>
      <c r="D127" s="67"/>
      <c r="E127" s="67"/>
      <c r="F127" s="67"/>
      <c r="G127" s="67"/>
    </row>
    <row r="128" spans="2:7">
      <c r="B128" s="67"/>
      <c r="C128" s="67"/>
      <c r="D128" s="67"/>
      <c r="E128" s="67"/>
      <c r="F128" s="67"/>
      <c r="G128" s="67"/>
    </row>
    <row r="129" spans="2:7">
      <c r="B129" s="67"/>
      <c r="C129" s="67"/>
      <c r="D129" s="67"/>
      <c r="E129" s="67"/>
      <c r="F129" s="67"/>
      <c r="G129" s="67"/>
    </row>
    <row r="130" spans="2:7">
      <c r="B130" s="67"/>
      <c r="C130" s="67"/>
      <c r="D130" s="67"/>
      <c r="E130" s="67"/>
      <c r="F130" s="67"/>
      <c r="G130" s="67"/>
    </row>
    <row r="131" spans="2:7">
      <c r="B131" s="67"/>
      <c r="C131" s="67"/>
      <c r="D131" s="67"/>
      <c r="E131" s="67"/>
      <c r="F131" s="67"/>
      <c r="G131" s="67"/>
    </row>
    <row r="132" spans="2:7">
      <c r="B132" s="67"/>
      <c r="C132" s="67"/>
      <c r="D132" s="67"/>
      <c r="E132" s="67"/>
      <c r="F132" s="67"/>
      <c r="G132" s="67"/>
    </row>
    <row r="133" spans="2:7">
      <c r="B133" s="67"/>
      <c r="C133" s="67"/>
      <c r="D133" s="67"/>
      <c r="E133" s="67"/>
      <c r="F133" s="67"/>
      <c r="G133" s="67"/>
    </row>
    <row r="134" spans="2:7">
      <c r="B134" s="67"/>
      <c r="C134" s="67"/>
      <c r="D134" s="67"/>
      <c r="E134" s="67"/>
      <c r="F134" s="67"/>
      <c r="G134" s="67"/>
    </row>
    <row r="135" spans="2:7">
      <c r="B135" s="67"/>
      <c r="C135" s="67"/>
      <c r="D135" s="67"/>
      <c r="E135" s="67"/>
      <c r="F135" s="67"/>
      <c r="G135" s="67"/>
    </row>
    <row r="136" spans="2:7">
      <c r="B136" s="67"/>
      <c r="C136" s="67"/>
      <c r="D136" s="67"/>
      <c r="E136" s="67"/>
      <c r="F136" s="67"/>
      <c r="G136" s="67"/>
    </row>
    <row r="137" spans="2:7">
      <c r="B137" s="67"/>
      <c r="C137" s="67"/>
      <c r="D137" s="67"/>
      <c r="E137" s="67"/>
      <c r="F137" s="67"/>
      <c r="G137" s="67"/>
    </row>
    <row r="138" spans="2:7">
      <c r="B138" s="67"/>
      <c r="C138" s="67"/>
      <c r="D138" s="67"/>
      <c r="E138" s="67"/>
      <c r="F138" s="67"/>
      <c r="G138" s="67"/>
    </row>
    <row r="139" spans="2:7">
      <c r="B139" s="67"/>
      <c r="C139" s="67"/>
      <c r="D139" s="67"/>
      <c r="E139" s="67"/>
      <c r="F139" s="67"/>
      <c r="G139" s="67"/>
    </row>
    <row r="140" spans="2:7">
      <c r="B140" s="67"/>
      <c r="C140" s="67"/>
      <c r="D140" s="67"/>
      <c r="E140" s="67"/>
      <c r="F140" s="67"/>
      <c r="G140" s="67"/>
    </row>
    <row r="141" spans="2:7">
      <c r="B141" s="67"/>
      <c r="C141" s="67"/>
      <c r="D141" s="67"/>
      <c r="E141" s="67"/>
      <c r="F141" s="67"/>
      <c r="G141" s="67"/>
    </row>
    <row r="142" spans="2:7">
      <c r="B142" s="67"/>
      <c r="C142" s="67"/>
      <c r="D142" s="67"/>
      <c r="E142" s="67"/>
      <c r="F142" s="67"/>
      <c r="G142" s="67"/>
    </row>
    <row r="143" spans="2:7">
      <c r="B143" s="67"/>
      <c r="C143" s="67"/>
      <c r="D143" s="67"/>
      <c r="E143" s="67"/>
      <c r="F143" s="67"/>
      <c r="G143" s="67"/>
    </row>
    <row r="144" spans="2:7">
      <c r="B144" s="67"/>
      <c r="C144" s="67"/>
      <c r="D144" s="67"/>
      <c r="E144" s="67"/>
      <c r="F144" s="67"/>
      <c r="G144" s="67"/>
    </row>
    <row r="145" spans="2:7">
      <c r="B145" s="67"/>
      <c r="C145" s="67"/>
      <c r="D145" s="67"/>
      <c r="E145" s="67"/>
      <c r="F145" s="67"/>
      <c r="G145" s="67"/>
    </row>
    <row r="146" spans="2:7">
      <c r="B146" s="67"/>
      <c r="C146" s="67"/>
      <c r="D146" s="67"/>
      <c r="E146" s="67"/>
      <c r="F146" s="67"/>
      <c r="G146" s="67"/>
    </row>
    <row r="147" spans="2:7">
      <c r="B147" s="67"/>
      <c r="C147" s="67"/>
      <c r="D147" s="67"/>
      <c r="E147" s="67"/>
      <c r="F147" s="67"/>
      <c r="G147" s="67"/>
    </row>
  </sheetData>
  <mergeCells count="2">
    <mergeCell ref="B6:G6"/>
    <mergeCell ref="B7:G7"/>
  </mergeCells>
  <pageMargins left="0.75" right="0.75" top="1" bottom="1" header="0.51180555555555496" footer="0.51180555555555496"/>
  <pageSetup firstPageNumber="0" orientation="landscape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2:AMJ49"/>
  <sheetViews>
    <sheetView showGridLines="0" topLeftCell="A6" zoomScale="80" zoomScaleNormal="80" workbookViewId="0">
      <selection activeCell="H50" sqref="H50"/>
    </sheetView>
  </sheetViews>
  <sheetFormatPr defaultColWidth="9" defaultRowHeight="14.45"/>
  <cols>
    <col min="1" max="1" width="8.25" style="15" customWidth="1"/>
    <col min="2" max="2" width="10.5" style="15" customWidth="1"/>
    <col min="3" max="3" width="9" style="15"/>
    <col min="4" max="4" width="3.75" style="15" customWidth="1"/>
    <col min="5" max="5" width="24.625" style="15" customWidth="1"/>
    <col min="6" max="6" width="24" style="15" customWidth="1"/>
    <col min="7" max="7" width="10.25" style="15" customWidth="1"/>
    <col min="8" max="8" width="12.5" style="15" customWidth="1"/>
    <col min="9" max="9" width="9" style="15"/>
    <col min="10" max="10" width="19.625" style="15" customWidth="1"/>
    <col min="11" max="11" width="13.25" style="15" customWidth="1"/>
    <col min="12" max="12" width="9" style="15"/>
    <col min="13" max="13" width="22.25" style="15" customWidth="1"/>
    <col min="14" max="1024" width="9" style="15"/>
  </cols>
  <sheetData>
    <row r="2" spans="2:56">
      <c r="B2" s="16"/>
    </row>
    <row r="3" spans="2:56">
      <c r="B3" s="16" t="s">
        <v>116</v>
      </c>
    </row>
    <row r="5" spans="2:56" ht="15"/>
    <row r="6" spans="2:56" ht="88.5" customHeight="1">
      <c r="E6" s="2" t="s">
        <v>13</v>
      </c>
      <c r="F6" s="2"/>
      <c r="G6" s="69"/>
      <c r="H6" s="70"/>
    </row>
    <row r="7" spans="2:56">
      <c r="E7" s="1">
        <f ca="1">NOW()</f>
        <v>44326.669727546294</v>
      </c>
      <c r="F7" s="1"/>
      <c r="G7" s="71"/>
      <c r="H7" s="72"/>
    </row>
    <row r="8" spans="2:56" ht="15">
      <c r="E8" s="73"/>
      <c r="F8" s="74"/>
      <c r="G8" s="75"/>
      <c r="H8" s="75"/>
    </row>
    <row r="9" spans="2:56" ht="26.45">
      <c r="E9" s="76" t="s">
        <v>117</v>
      </c>
      <c r="F9" s="77" t="s">
        <v>118</v>
      </c>
      <c r="G9" s="69"/>
      <c r="H9" s="78"/>
      <c r="I9" s="78"/>
    </row>
    <row r="10" spans="2:56" ht="13.9">
      <c r="B10" s="40" t="s">
        <v>59</v>
      </c>
      <c r="C10" s="75"/>
      <c r="E10" s="79" t="s">
        <v>119</v>
      </c>
      <c r="F10" s="80" t="s">
        <v>120</v>
      </c>
    </row>
    <row r="11" spans="2:56" ht="13.9">
      <c r="B11" s="43" t="s">
        <v>60</v>
      </c>
      <c r="C11" s="75"/>
      <c r="E11" s="81" t="s">
        <v>121</v>
      </c>
      <c r="F11" s="82" t="s">
        <v>122</v>
      </c>
    </row>
    <row r="12" spans="2:56" ht="13.9">
      <c r="B12" s="43" t="s">
        <v>61</v>
      </c>
      <c r="C12" s="75"/>
      <c r="E12" s="81" t="s">
        <v>123</v>
      </c>
      <c r="F12" s="82" t="s">
        <v>124</v>
      </c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</row>
    <row r="13" spans="2:56" ht="13.9">
      <c r="B13" s="43" t="s">
        <v>62</v>
      </c>
      <c r="C13" s="75"/>
      <c r="E13" s="43" t="s">
        <v>125</v>
      </c>
      <c r="F13" s="84" t="s">
        <v>126</v>
      </c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</row>
    <row r="14" spans="2:56" ht="13.9">
      <c r="B14" s="43" t="s">
        <v>63</v>
      </c>
      <c r="C14" s="75"/>
      <c r="E14" s="84" t="s">
        <v>127</v>
      </c>
      <c r="F14" s="75" t="s">
        <v>128</v>
      </c>
      <c r="J14" s="83"/>
      <c r="K14" s="85"/>
      <c r="L14" s="78"/>
      <c r="M14" s="78"/>
      <c r="N14" s="86"/>
      <c r="O14" s="87"/>
    </row>
    <row r="15" spans="2:56" ht="13.9">
      <c r="B15" s="43" t="s">
        <v>64</v>
      </c>
      <c r="C15" s="75"/>
      <c r="E15" s="84" t="s">
        <v>129</v>
      </c>
      <c r="F15" s="84" t="s">
        <v>130</v>
      </c>
      <c r="J15" s="83"/>
      <c r="K15" s="85"/>
      <c r="L15" s="78"/>
      <c r="M15" s="78"/>
      <c r="N15" s="86"/>
      <c r="O15" s="87"/>
    </row>
    <row r="16" spans="2:56" ht="13.9">
      <c r="B16" s="43" t="s">
        <v>65</v>
      </c>
      <c r="C16" s="75"/>
      <c r="E16" s="43" t="s">
        <v>131</v>
      </c>
      <c r="F16" s="84" t="s">
        <v>132</v>
      </c>
      <c r="J16" s="83"/>
      <c r="K16" s="85"/>
      <c r="L16" s="78"/>
      <c r="M16" s="78"/>
      <c r="N16" s="86"/>
      <c r="O16" s="87"/>
    </row>
    <row r="17" spans="2:15" ht="13.9">
      <c r="B17" s="43" t="s">
        <v>66</v>
      </c>
      <c r="C17" s="75"/>
      <c r="E17" s="43" t="s">
        <v>133</v>
      </c>
      <c r="F17" s="84" t="s">
        <v>134</v>
      </c>
      <c r="J17" s="83"/>
      <c r="K17" s="85"/>
      <c r="L17" s="78"/>
      <c r="M17" s="78"/>
      <c r="N17" s="86"/>
      <c r="O17" s="87"/>
    </row>
    <row r="18" spans="2:15" ht="13.9">
      <c r="B18" s="43" t="s">
        <v>67</v>
      </c>
      <c r="C18" s="75"/>
      <c r="E18" s="43" t="s">
        <v>135</v>
      </c>
      <c r="F18" s="84" t="s">
        <v>136</v>
      </c>
      <c r="J18" s="83"/>
      <c r="K18" s="85"/>
      <c r="L18" s="78"/>
      <c r="M18" s="78"/>
      <c r="N18" s="86"/>
      <c r="O18" s="87"/>
    </row>
    <row r="19" spans="2:15" ht="13.9">
      <c r="B19" s="43" t="s">
        <v>68</v>
      </c>
      <c r="C19" s="75"/>
      <c r="E19" s="43" t="s">
        <v>137</v>
      </c>
      <c r="F19" s="84" t="s">
        <v>138</v>
      </c>
      <c r="J19" s="83"/>
      <c r="K19" s="85"/>
      <c r="L19" s="78"/>
      <c r="M19" s="78"/>
      <c r="N19" s="86"/>
      <c r="O19" s="87"/>
    </row>
    <row r="20" spans="2:15" ht="13.9">
      <c r="B20" s="43" t="s">
        <v>69</v>
      </c>
      <c r="C20" s="75"/>
      <c r="E20" s="43" t="s">
        <v>139</v>
      </c>
      <c r="F20" s="84" t="s">
        <v>140</v>
      </c>
      <c r="J20" s="83"/>
      <c r="K20" s="85"/>
      <c r="L20" s="78"/>
      <c r="M20" s="78"/>
      <c r="N20" s="86"/>
      <c r="O20" s="87"/>
    </row>
    <row r="21" spans="2:15" ht="13.9">
      <c r="B21" s="43" t="s">
        <v>70</v>
      </c>
      <c r="C21" s="75"/>
      <c r="E21" s="43" t="s">
        <v>141</v>
      </c>
      <c r="F21" s="84" t="s">
        <v>142</v>
      </c>
    </row>
    <row r="22" spans="2:15" ht="13.9">
      <c r="B22" s="43" t="s">
        <v>71</v>
      </c>
      <c r="C22" s="75"/>
      <c r="E22" s="43" t="s">
        <v>143</v>
      </c>
      <c r="F22" s="84" t="s">
        <v>144</v>
      </c>
    </row>
    <row r="23" spans="2:15" ht="13.9">
      <c r="B23" s="43" t="s">
        <v>72</v>
      </c>
      <c r="C23" s="75"/>
      <c r="E23" s="43" t="s">
        <v>145</v>
      </c>
      <c r="F23" s="84" t="s">
        <v>146</v>
      </c>
    </row>
    <row r="24" spans="2:15" ht="13.9">
      <c r="B24" s="43" t="s">
        <v>73</v>
      </c>
      <c r="C24" s="75"/>
      <c r="E24" s="43" t="s">
        <v>147</v>
      </c>
      <c r="F24" s="84" t="s">
        <v>148</v>
      </c>
    </row>
    <row r="25" spans="2:15" ht="13.9">
      <c r="B25" s="43" t="s">
        <v>74</v>
      </c>
      <c r="C25" s="75"/>
      <c r="E25" s="43" t="s">
        <v>149</v>
      </c>
      <c r="F25" s="84" t="s">
        <v>150</v>
      </c>
    </row>
    <row r="26" spans="2:15" ht="13.9">
      <c r="B26" s="43" t="s">
        <v>75</v>
      </c>
      <c r="C26" s="75"/>
      <c r="E26" s="43" t="s">
        <v>151</v>
      </c>
      <c r="F26" s="84" t="s">
        <v>152</v>
      </c>
    </row>
    <row r="27" spans="2:15" ht="13.9">
      <c r="B27" s="43" t="s">
        <v>76</v>
      </c>
      <c r="C27" s="75"/>
      <c r="E27" s="43" t="s">
        <v>153</v>
      </c>
      <c r="F27" s="84" t="s">
        <v>154</v>
      </c>
    </row>
    <row r="28" spans="2:15" ht="13.9">
      <c r="B28" s="43" t="s">
        <v>77</v>
      </c>
      <c r="C28" s="75"/>
      <c r="E28" s="43" t="s">
        <v>155</v>
      </c>
      <c r="F28" s="84" t="s">
        <v>156</v>
      </c>
    </row>
    <row r="29" spans="2:15" ht="13.9">
      <c r="B29" s="43" t="s">
        <v>78</v>
      </c>
      <c r="C29" s="75"/>
      <c r="E29" s="43" t="s">
        <v>155</v>
      </c>
      <c r="F29" s="84" t="s">
        <v>157</v>
      </c>
    </row>
    <row r="30" spans="2:15" ht="13.9">
      <c r="B30" s="43" t="s">
        <v>79</v>
      </c>
      <c r="C30" s="75"/>
      <c r="E30" s="43" t="s">
        <v>158</v>
      </c>
      <c r="F30" s="84" t="s">
        <v>159</v>
      </c>
    </row>
    <row r="31" spans="2:15" ht="13.9">
      <c r="B31" s="43" t="s">
        <v>80</v>
      </c>
      <c r="C31" s="75"/>
      <c r="E31" s="43" t="s">
        <v>160</v>
      </c>
      <c r="F31" s="84" t="s">
        <v>161</v>
      </c>
    </row>
    <row r="32" spans="2:15" ht="13.9">
      <c r="B32" s="43" t="s">
        <v>81</v>
      </c>
      <c r="C32" s="75"/>
      <c r="E32" s="43" t="s">
        <v>162</v>
      </c>
      <c r="F32" s="84" t="s">
        <v>163</v>
      </c>
    </row>
    <row r="33" spans="2:6" ht="13.9">
      <c r="B33" s="43" t="s">
        <v>82</v>
      </c>
      <c r="C33" s="75"/>
      <c r="E33" s="43" t="s">
        <v>164</v>
      </c>
      <c r="F33" s="84" t="s">
        <v>165</v>
      </c>
    </row>
    <row r="34" spans="2:6" ht="13.9">
      <c r="B34" s="43" t="s">
        <v>83</v>
      </c>
      <c r="C34" s="75"/>
      <c r="E34" s="43" t="s">
        <v>166</v>
      </c>
      <c r="F34" s="84" t="s">
        <v>167</v>
      </c>
    </row>
    <row r="35" spans="2:6" ht="13.9">
      <c r="B35" s="43" t="s">
        <v>84</v>
      </c>
      <c r="C35" s="75"/>
      <c r="E35" s="43" t="s">
        <v>168</v>
      </c>
      <c r="F35" s="84" t="s">
        <v>169</v>
      </c>
    </row>
    <row r="36" spans="2:6" ht="13.9">
      <c r="B36" s="43" t="s">
        <v>85</v>
      </c>
      <c r="C36" s="75"/>
      <c r="E36" s="43" t="s">
        <v>170</v>
      </c>
      <c r="F36" s="84" t="s">
        <v>171</v>
      </c>
    </row>
    <row r="37" spans="2:6" ht="13.9">
      <c r="B37" s="43" t="s">
        <v>86</v>
      </c>
      <c r="C37" s="75"/>
      <c r="E37" s="43" t="s">
        <v>172</v>
      </c>
      <c r="F37" s="84" t="s">
        <v>173</v>
      </c>
    </row>
    <row r="38" spans="2:6" ht="13.9">
      <c r="B38" s="43" t="s">
        <v>87</v>
      </c>
      <c r="C38" s="75"/>
      <c r="E38" s="43" t="s">
        <v>174</v>
      </c>
      <c r="F38" s="84" t="s">
        <v>175</v>
      </c>
    </row>
    <row r="39" spans="2:6" ht="13.9">
      <c r="B39" s="43" t="s">
        <v>88</v>
      </c>
      <c r="C39" s="75"/>
      <c r="E39" s="43" t="s">
        <v>176</v>
      </c>
      <c r="F39" s="84" t="s">
        <v>177</v>
      </c>
    </row>
    <row r="40" spans="2:6" ht="13.9">
      <c r="B40" s="43" t="s">
        <v>89</v>
      </c>
      <c r="C40" s="75"/>
      <c r="E40" s="43" t="s">
        <v>178</v>
      </c>
      <c r="F40" s="84" t="s">
        <v>142</v>
      </c>
    </row>
    <row r="41" spans="2:6" ht="13.9">
      <c r="B41" s="43" t="s">
        <v>90</v>
      </c>
      <c r="C41" s="75"/>
      <c r="E41" s="43" t="s">
        <v>179</v>
      </c>
      <c r="F41" s="84" t="s">
        <v>180</v>
      </c>
    </row>
    <row r="42" spans="2:6" ht="13.9">
      <c r="B42" s="43" t="s">
        <v>91</v>
      </c>
      <c r="C42" s="75"/>
      <c r="E42" s="43" t="s">
        <v>181</v>
      </c>
      <c r="F42" s="84" t="s">
        <v>182</v>
      </c>
    </row>
    <row r="43" spans="2:6" ht="13.9">
      <c r="B43" s="43" t="s">
        <v>92</v>
      </c>
      <c r="C43" s="75"/>
      <c r="E43" s="43" t="s">
        <v>183</v>
      </c>
      <c r="F43" s="84" t="s">
        <v>184</v>
      </c>
    </row>
    <row r="44" spans="2:6" ht="13.9">
      <c r="B44" s="43" t="s">
        <v>93</v>
      </c>
      <c r="C44" s="75"/>
      <c r="E44" s="43" t="s">
        <v>185</v>
      </c>
      <c r="F44" s="84" t="s">
        <v>186</v>
      </c>
    </row>
    <row r="45" spans="2:6" ht="13.9">
      <c r="B45" s="43" t="s">
        <v>94</v>
      </c>
      <c r="C45" s="75"/>
      <c r="E45" s="43" t="s">
        <v>187</v>
      </c>
      <c r="F45" s="84" t="s">
        <v>188</v>
      </c>
    </row>
    <row r="46" spans="2:6" ht="13.9">
      <c r="B46" s="43" t="s">
        <v>95</v>
      </c>
      <c r="C46" s="75"/>
      <c r="E46" s="43" t="s">
        <v>189</v>
      </c>
      <c r="F46" s="84" t="s">
        <v>190</v>
      </c>
    </row>
    <row r="47" spans="2:6" ht="13.9">
      <c r="B47" s="43" t="s">
        <v>96</v>
      </c>
      <c r="C47" s="75"/>
      <c r="E47" s="43" t="s">
        <v>191</v>
      </c>
      <c r="F47" s="84" t="s">
        <v>192</v>
      </c>
    </row>
    <row r="48" spans="2:6" ht="13.9">
      <c r="B48" s="43" t="s">
        <v>97</v>
      </c>
      <c r="C48" s="75"/>
      <c r="E48" s="88" t="s">
        <v>193</v>
      </c>
      <c r="F48" s="84" t="s">
        <v>194</v>
      </c>
    </row>
    <row r="49" spans="2:6" ht="13.9">
      <c r="B49" s="46" t="s">
        <v>98</v>
      </c>
      <c r="C49" s="75"/>
      <c r="E49"/>
      <c r="F49"/>
    </row>
  </sheetData>
  <mergeCells count="2">
    <mergeCell ref="E6:F6"/>
    <mergeCell ref="E7:F7"/>
  </mergeCells>
  <pageMargins left="0.75" right="0.75" top="1" bottom="1" header="0.51180555555555496" footer="0.51180555555555496"/>
  <pageSetup firstPageNumber="0" orientation="landscape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2:AMJ158"/>
  <sheetViews>
    <sheetView showGridLines="0" zoomScale="80" zoomScaleNormal="80" workbookViewId="0">
      <selection activeCell="B2" sqref="B2"/>
    </sheetView>
  </sheetViews>
  <sheetFormatPr defaultColWidth="9" defaultRowHeight="14.45"/>
  <cols>
    <col min="1" max="1" width="9" style="89"/>
    <col min="2" max="2" width="22.25" style="89" customWidth="1"/>
    <col min="3" max="3" width="19.25" style="89" customWidth="1"/>
    <col min="4" max="4" width="15.625" style="89" customWidth="1"/>
    <col min="5" max="5" width="12.625" style="89" customWidth="1"/>
    <col min="6" max="6" width="12.5" style="89" customWidth="1"/>
    <col min="7" max="7" width="9" style="90"/>
    <col min="8" max="8" width="19.625" style="90" customWidth="1"/>
    <col min="9" max="9" width="13.25" style="90" customWidth="1"/>
    <col min="10" max="10" width="9" style="90"/>
    <col min="11" max="11" width="22.25" style="90" customWidth="1"/>
    <col min="12" max="1024" width="9" style="89"/>
  </cols>
  <sheetData>
    <row r="2" spans="2:17">
      <c r="B2" s="16"/>
      <c r="D2" s="91"/>
    </row>
    <row r="3" spans="2:17">
      <c r="B3" s="16" t="s">
        <v>195</v>
      </c>
    </row>
    <row r="4" spans="2:17" ht="15"/>
    <row r="5" spans="2:17" ht="97.5" customHeight="1">
      <c r="B5" s="92"/>
      <c r="C5" s="93" t="s">
        <v>13</v>
      </c>
      <c r="D5" s="94"/>
      <c r="E5" s="94"/>
      <c r="F5" s="95"/>
    </row>
    <row r="6" spans="2:17" ht="15">
      <c r="B6" s="96"/>
      <c r="C6" s="97"/>
      <c r="D6" s="97"/>
      <c r="E6" s="97"/>
      <c r="F6" s="98"/>
    </row>
    <row r="7" spans="2:17" ht="28.9">
      <c r="B7" s="99" t="s">
        <v>45</v>
      </c>
      <c r="C7" s="99" t="s">
        <v>196</v>
      </c>
      <c r="D7" s="100" t="s">
        <v>18</v>
      </c>
      <c r="E7" s="99" t="s">
        <v>197</v>
      </c>
      <c r="F7" s="99" t="s">
        <v>198</v>
      </c>
    </row>
    <row r="8" spans="2:17">
      <c r="B8" s="90" t="s">
        <v>199</v>
      </c>
      <c r="C8" s="101" t="s">
        <v>200</v>
      </c>
      <c r="D8" s="102">
        <v>40421</v>
      </c>
      <c r="E8" s="103">
        <f>F8/160</f>
        <v>2.6749999999999998</v>
      </c>
      <c r="F8" s="104">
        <v>428</v>
      </c>
    </row>
    <row r="9" spans="2:17">
      <c r="B9" s="90" t="s">
        <v>199</v>
      </c>
      <c r="C9" s="101" t="s">
        <v>200</v>
      </c>
      <c r="D9" s="102">
        <v>40423</v>
      </c>
      <c r="E9" s="103">
        <f>F9/160</f>
        <v>2.625</v>
      </c>
      <c r="F9" s="104">
        <v>420</v>
      </c>
    </row>
    <row r="10" spans="2:17">
      <c r="B10" s="90" t="s">
        <v>201</v>
      </c>
      <c r="C10" s="101" t="s">
        <v>202</v>
      </c>
      <c r="D10" s="102">
        <v>40427</v>
      </c>
      <c r="E10" s="103">
        <f>F10/160</f>
        <v>3.0359375000000002</v>
      </c>
      <c r="F10" s="104">
        <v>485.75</v>
      </c>
      <c r="I10" s="105"/>
      <c r="J10" s="105"/>
      <c r="K10" s="105"/>
      <c r="L10" s="106"/>
      <c r="M10" s="106"/>
      <c r="N10" s="106"/>
      <c r="O10" s="106"/>
      <c r="P10" s="106"/>
      <c r="Q10" s="106"/>
    </row>
    <row r="11" spans="2:17">
      <c r="B11" s="90" t="s">
        <v>203</v>
      </c>
      <c r="C11" s="101" t="s">
        <v>202</v>
      </c>
      <c r="D11" s="102">
        <v>40451</v>
      </c>
      <c r="E11" s="103">
        <f>F11/160</f>
        <v>2.6375000000000002</v>
      </c>
      <c r="F11" s="104">
        <v>422</v>
      </c>
      <c r="I11" s="105"/>
      <c r="J11" s="105"/>
      <c r="K11" s="105"/>
      <c r="L11" s="106"/>
      <c r="M11" s="106"/>
      <c r="N11" s="106"/>
      <c r="O11" s="106"/>
      <c r="P11" s="106"/>
      <c r="Q11" s="106"/>
    </row>
    <row r="12" spans="2:17">
      <c r="B12" s="90" t="s">
        <v>204</v>
      </c>
      <c r="C12" s="101" t="s">
        <v>205</v>
      </c>
      <c r="D12" s="102">
        <v>40469</v>
      </c>
      <c r="E12" s="103">
        <f>F12/160</f>
        <v>2.9031250000000002</v>
      </c>
      <c r="F12" s="104">
        <v>464.5</v>
      </c>
      <c r="I12" s="107"/>
      <c r="J12" s="101"/>
      <c r="K12" s="101"/>
      <c r="L12" s="108"/>
      <c r="M12" s="109"/>
    </row>
    <row r="13" spans="2:17">
      <c r="B13" s="90" t="s">
        <v>48</v>
      </c>
      <c r="C13" s="101" t="s">
        <v>206</v>
      </c>
      <c r="D13" s="102">
        <v>40763</v>
      </c>
      <c r="E13" s="103">
        <f>F13/160</f>
        <v>7.03125</v>
      </c>
      <c r="F13" s="104">
        <v>1125</v>
      </c>
      <c r="I13" s="107"/>
      <c r="J13" s="101"/>
      <c r="K13" s="101"/>
      <c r="L13" s="108"/>
      <c r="M13" s="109"/>
    </row>
    <row r="14" spans="2:17">
      <c r="B14" s="90" t="s">
        <v>54</v>
      </c>
      <c r="C14" s="101" t="s">
        <v>206</v>
      </c>
      <c r="D14" s="102">
        <v>40771</v>
      </c>
      <c r="E14" s="103">
        <f>F14/160</f>
        <v>14.5</v>
      </c>
      <c r="F14" s="104">
        <v>2320</v>
      </c>
      <c r="I14" s="107"/>
      <c r="J14" s="101"/>
      <c r="K14" s="101"/>
      <c r="L14" s="108"/>
      <c r="M14" s="109"/>
    </row>
    <row r="15" spans="2:17">
      <c r="B15" s="90" t="s">
        <v>54</v>
      </c>
      <c r="C15" s="101" t="s">
        <v>206</v>
      </c>
      <c r="D15" s="102">
        <v>40773</v>
      </c>
      <c r="E15" s="103">
        <f>F15/160</f>
        <v>6.6703124999999996</v>
      </c>
      <c r="F15" s="104">
        <v>1067.25</v>
      </c>
      <c r="I15" s="107"/>
      <c r="J15" s="101"/>
      <c r="K15" s="101"/>
      <c r="L15" s="108"/>
      <c r="M15" s="109"/>
    </row>
    <row r="16" spans="2:17">
      <c r="B16" s="90" t="s">
        <v>207</v>
      </c>
      <c r="C16" s="101" t="s">
        <v>200</v>
      </c>
      <c r="D16" s="102">
        <v>40774</v>
      </c>
      <c r="E16" s="103">
        <f>F16/160</f>
        <v>9.4312500000000004</v>
      </c>
      <c r="F16" s="104">
        <v>1509</v>
      </c>
      <c r="I16" s="107"/>
      <c r="J16" s="101"/>
      <c r="K16" s="101"/>
      <c r="L16" s="108"/>
      <c r="M16" s="109"/>
    </row>
    <row r="17" spans="2:13">
      <c r="B17" s="90" t="s">
        <v>207</v>
      </c>
      <c r="C17" s="101" t="s">
        <v>200</v>
      </c>
      <c r="D17" s="102">
        <v>40775</v>
      </c>
      <c r="E17" s="103">
        <f>F17/160</f>
        <v>7.8937499999999998</v>
      </c>
      <c r="F17" s="104">
        <v>1263</v>
      </c>
      <c r="I17" s="107"/>
      <c r="J17" s="101"/>
      <c r="K17" s="101"/>
      <c r="L17" s="108"/>
      <c r="M17" s="109"/>
    </row>
    <row r="18" spans="2:13">
      <c r="B18" s="90" t="s">
        <v>207</v>
      </c>
      <c r="C18" s="101" t="s">
        <v>200</v>
      </c>
      <c r="D18" s="102">
        <v>40777</v>
      </c>
      <c r="E18" s="103">
        <f>F18/160</f>
        <v>13.3125</v>
      </c>
      <c r="F18" s="104">
        <v>2130</v>
      </c>
    </row>
    <row r="19" spans="2:13">
      <c r="B19" s="90" t="s">
        <v>207</v>
      </c>
      <c r="C19" s="101" t="s">
        <v>200</v>
      </c>
      <c r="D19" s="102">
        <v>40778</v>
      </c>
      <c r="E19" s="103">
        <f>F19/160</f>
        <v>8.2531250000000007</v>
      </c>
      <c r="F19" s="104">
        <v>1320.5</v>
      </c>
    </row>
    <row r="20" spans="2:13">
      <c r="B20" s="90" t="s">
        <v>208</v>
      </c>
      <c r="C20" s="101" t="s">
        <v>200</v>
      </c>
      <c r="D20" s="102">
        <v>40781</v>
      </c>
      <c r="E20" s="103">
        <f>F20/160</f>
        <v>7.6281249999999998</v>
      </c>
      <c r="F20" s="104">
        <v>1220.5</v>
      </c>
      <c r="I20" s="107"/>
    </row>
    <row r="21" spans="2:13">
      <c r="B21" s="90" t="s">
        <v>201</v>
      </c>
      <c r="C21" s="101" t="s">
        <v>202</v>
      </c>
      <c r="D21" s="102">
        <v>40797</v>
      </c>
      <c r="E21" s="103">
        <f>F21/160</f>
        <v>8.90625</v>
      </c>
      <c r="F21" s="104">
        <v>1425</v>
      </c>
    </row>
    <row r="22" spans="2:13">
      <c r="B22" s="90" t="s">
        <v>209</v>
      </c>
      <c r="C22" s="101" t="s">
        <v>202</v>
      </c>
      <c r="D22" s="102">
        <v>40803</v>
      </c>
      <c r="E22" s="103">
        <f>F22/160</f>
        <v>8.15625</v>
      </c>
      <c r="F22" s="104">
        <v>1305</v>
      </c>
    </row>
    <row r="23" spans="2:13">
      <c r="B23" s="90" t="s">
        <v>209</v>
      </c>
      <c r="C23" s="101" t="s">
        <v>202</v>
      </c>
      <c r="D23" s="102">
        <v>40810</v>
      </c>
      <c r="E23" s="103">
        <f>F23/160</f>
        <v>7.8156249999999998</v>
      </c>
      <c r="F23" s="104">
        <v>1250.5</v>
      </c>
      <c r="I23" s="107"/>
    </row>
    <row r="24" spans="2:13">
      <c r="B24" s="90" t="s">
        <v>203</v>
      </c>
      <c r="C24" s="101" t="s">
        <v>202</v>
      </c>
      <c r="D24" s="102">
        <v>40813</v>
      </c>
      <c r="E24" s="103">
        <f>F24/160</f>
        <v>7.3624999999999998</v>
      </c>
      <c r="F24" s="104">
        <v>1178</v>
      </c>
    </row>
    <row r="25" spans="2:13">
      <c r="B25" s="90" t="s">
        <v>203</v>
      </c>
      <c r="C25" s="101" t="s">
        <v>202</v>
      </c>
      <c r="D25" s="102">
        <v>40814</v>
      </c>
      <c r="E25" s="103">
        <f>F25/160</f>
        <v>7.5</v>
      </c>
      <c r="F25" s="104">
        <v>1200</v>
      </c>
    </row>
    <row r="26" spans="2:13">
      <c r="B26" s="90" t="s">
        <v>203</v>
      </c>
      <c r="C26" s="101" t="s">
        <v>202</v>
      </c>
      <c r="D26" s="102">
        <v>40849</v>
      </c>
      <c r="E26" s="103">
        <f>F26/160</f>
        <v>8.1312499999999996</v>
      </c>
      <c r="F26" s="104">
        <v>1301</v>
      </c>
      <c r="I26" s="107"/>
    </row>
    <row r="27" spans="2:13">
      <c r="B27" s="90" t="s">
        <v>210</v>
      </c>
      <c r="C27" s="101" t="s">
        <v>205</v>
      </c>
      <c r="D27" s="102">
        <v>40851</v>
      </c>
      <c r="E27" s="103">
        <f>F27/160</f>
        <v>8.1593750000000007</v>
      </c>
      <c r="F27" s="104">
        <v>1305.5</v>
      </c>
    </row>
    <row r="28" spans="2:13">
      <c r="B28" s="90" t="s">
        <v>52</v>
      </c>
      <c r="C28" s="101" t="s">
        <v>205</v>
      </c>
      <c r="D28" s="102">
        <v>40858</v>
      </c>
      <c r="E28" s="103">
        <f>F28/160</f>
        <v>7.5062499999999996</v>
      </c>
      <c r="F28" s="104">
        <v>1201</v>
      </c>
    </row>
    <row r="29" spans="2:13">
      <c r="B29" s="90" t="s">
        <v>47</v>
      </c>
      <c r="C29" s="101" t="s">
        <v>205</v>
      </c>
      <c r="D29" s="102">
        <v>40862</v>
      </c>
      <c r="E29" s="103">
        <f>F29/160</f>
        <v>9.375</v>
      </c>
      <c r="F29" s="104">
        <v>1500</v>
      </c>
      <c r="I29" s="107"/>
    </row>
    <row r="30" spans="2:13">
      <c r="B30" s="90" t="s">
        <v>47</v>
      </c>
      <c r="C30" s="101" t="s">
        <v>205</v>
      </c>
      <c r="D30" s="102">
        <v>40863</v>
      </c>
      <c r="E30" s="103">
        <f>F30/160</f>
        <v>9.3874999999999993</v>
      </c>
      <c r="F30" s="104">
        <v>1502</v>
      </c>
    </row>
    <row r="31" spans="2:13">
      <c r="B31" s="90" t="s">
        <v>47</v>
      </c>
      <c r="C31" s="101" t="s">
        <v>205</v>
      </c>
      <c r="D31" s="102">
        <v>40864</v>
      </c>
      <c r="E31" s="103">
        <f>F31/160</f>
        <v>6.8031249999999996</v>
      </c>
      <c r="F31" s="104">
        <v>1088.5</v>
      </c>
    </row>
    <row r="32" spans="2:13">
      <c r="B32" s="90" t="s">
        <v>204</v>
      </c>
      <c r="C32" s="101" t="s">
        <v>205</v>
      </c>
      <c r="D32" s="102">
        <v>40870</v>
      </c>
      <c r="E32" s="103">
        <f>F32/160</f>
        <v>17.5</v>
      </c>
      <c r="F32" s="104">
        <v>2800</v>
      </c>
      <c r="I32" s="107"/>
    </row>
    <row r="33" spans="2:6">
      <c r="B33" s="90" t="s">
        <v>204</v>
      </c>
      <c r="C33" s="101" t="s">
        <v>205</v>
      </c>
      <c r="D33" s="102">
        <v>40871</v>
      </c>
      <c r="E33" s="103">
        <f>F33/160</f>
        <v>7.2015624999999996</v>
      </c>
      <c r="F33" s="104">
        <v>1152.25</v>
      </c>
    </row>
    <row r="34" spans="2:6">
      <c r="B34" s="90" t="s">
        <v>48</v>
      </c>
      <c r="C34" s="101" t="s">
        <v>206</v>
      </c>
      <c r="D34" s="102">
        <v>41125</v>
      </c>
      <c r="E34" s="103">
        <f>F34/160</f>
        <v>6.0343749999999936</v>
      </c>
      <c r="F34" s="104">
        <v>965.49999999999898</v>
      </c>
    </row>
    <row r="35" spans="2:6">
      <c r="B35" s="90" t="s">
        <v>48</v>
      </c>
      <c r="C35" s="101" t="s">
        <v>206</v>
      </c>
      <c r="D35" s="102">
        <v>41126</v>
      </c>
      <c r="E35" s="103">
        <f>F35/160</f>
        <v>6.09375</v>
      </c>
      <c r="F35" s="104">
        <v>975</v>
      </c>
    </row>
    <row r="36" spans="2:6">
      <c r="B36" s="90" t="s">
        <v>48</v>
      </c>
      <c r="C36" s="101" t="s">
        <v>206</v>
      </c>
      <c r="D36" s="102">
        <v>41130</v>
      </c>
      <c r="E36" s="103">
        <f>F36/160</f>
        <v>6.25</v>
      </c>
      <c r="F36" s="104">
        <v>1000</v>
      </c>
    </row>
    <row r="37" spans="2:6">
      <c r="B37" s="90" t="s">
        <v>54</v>
      </c>
      <c r="C37" s="101" t="s">
        <v>206</v>
      </c>
      <c r="D37" s="102">
        <v>41138</v>
      </c>
      <c r="E37" s="103">
        <f>F37/160</f>
        <v>5.9249999999999998</v>
      </c>
      <c r="F37" s="104">
        <v>948</v>
      </c>
    </row>
    <row r="38" spans="2:6">
      <c r="B38" s="90" t="s">
        <v>207</v>
      </c>
      <c r="C38" s="101" t="s">
        <v>200</v>
      </c>
      <c r="D38" s="102">
        <v>41142</v>
      </c>
      <c r="E38" s="103">
        <f>F38/160</f>
        <v>6.1749999999999998</v>
      </c>
      <c r="F38" s="104">
        <v>988</v>
      </c>
    </row>
    <row r="39" spans="2:6">
      <c r="B39" s="90" t="s">
        <v>208</v>
      </c>
      <c r="C39" s="101" t="s">
        <v>200</v>
      </c>
      <c r="D39" s="102">
        <v>41146</v>
      </c>
      <c r="E39" s="103">
        <f>F39/160</f>
        <v>6.3</v>
      </c>
      <c r="F39" s="104">
        <v>1008</v>
      </c>
    </row>
    <row r="40" spans="2:6">
      <c r="B40" s="90" t="s">
        <v>208</v>
      </c>
      <c r="C40" s="101" t="s">
        <v>200</v>
      </c>
      <c r="D40" s="102">
        <v>41148</v>
      </c>
      <c r="E40" s="103">
        <f>F40/160</f>
        <v>6.0906250000000002</v>
      </c>
      <c r="F40" s="104">
        <v>974.5</v>
      </c>
    </row>
    <row r="41" spans="2:6">
      <c r="B41" s="90" t="s">
        <v>199</v>
      </c>
      <c r="C41" s="101" t="s">
        <v>200</v>
      </c>
      <c r="D41" s="102">
        <v>41153</v>
      </c>
      <c r="E41" s="103">
        <f>F41/160</f>
        <v>6.3562500000000002</v>
      </c>
      <c r="F41" s="104">
        <v>1017</v>
      </c>
    </row>
    <row r="42" spans="2:6">
      <c r="B42" s="90" t="s">
        <v>199</v>
      </c>
      <c r="C42" s="101" t="s">
        <v>200</v>
      </c>
      <c r="D42" s="102">
        <v>41155</v>
      </c>
      <c r="E42" s="103">
        <f>F42/160</f>
        <v>6.0625</v>
      </c>
      <c r="F42" s="104">
        <v>970</v>
      </c>
    </row>
    <row r="43" spans="2:6">
      <c r="B43" s="90" t="s">
        <v>201</v>
      </c>
      <c r="C43" s="101" t="s">
        <v>202</v>
      </c>
      <c r="D43" s="102">
        <v>41164</v>
      </c>
      <c r="E43" s="103">
        <f>F43/160</f>
        <v>6.5374999999999996</v>
      </c>
      <c r="F43" s="104">
        <v>1046</v>
      </c>
    </row>
    <row r="44" spans="2:6">
      <c r="B44" s="90" t="s">
        <v>209</v>
      </c>
      <c r="C44" s="101" t="s">
        <v>202</v>
      </c>
      <c r="D44" s="102">
        <v>41171</v>
      </c>
      <c r="E44" s="103">
        <f>F44/160</f>
        <v>6.1375000000000002</v>
      </c>
      <c r="F44" s="104">
        <v>982</v>
      </c>
    </row>
    <row r="45" spans="2:6">
      <c r="B45" s="90" t="s">
        <v>209</v>
      </c>
      <c r="C45" s="101" t="s">
        <v>202</v>
      </c>
      <c r="D45" s="102">
        <v>41175</v>
      </c>
      <c r="E45" s="103">
        <f>F45/160</f>
        <v>6.0062499999999934</v>
      </c>
      <c r="F45" s="104">
        <v>960.99999999999898</v>
      </c>
    </row>
    <row r="46" spans="2:6">
      <c r="B46" s="90" t="s">
        <v>210</v>
      </c>
      <c r="C46" s="101" t="s">
        <v>205</v>
      </c>
      <c r="D46" s="102">
        <v>41248</v>
      </c>
      <c r="E46" s="103">
        <f>F46/160</f>
        <v>5.96875</v>
      </c>
      <c r="F46" s="104">
        <v>955</v>
      </c>
    </row>
    <row r="47" spans="2:6">
      <c r="B47" s="90" t="s">
        <v>52</v>
      </c>
      <c r="C47" s="101" t="s">
        <v>205</v>
      </c>
      <c r="D47" s="102">
        <v>41255</v>
      </c>
      <c r="E47" s="103">
        <f>F47/160</f>
        <v>6.4328124999999998</v>
      </c>
      <c r="F47" s="104">
        <v>1029.25</v>
      </c>
    </row>
    <row r="48" spans="2:6">
      <c r="B48" s="90" t="s">
        <v>47</v>
      </c>
      <c r="C48" s="101" t="s">
        <v>205</v>
      </c>
      <c r="D48" s="102">
        <v>41256</v>
      </c>
      <c r="E48" s="103">
        <f>F48/160</f>
        <v>6.6218750000000002</v>
      </c>
      <c r="F48" s="104">
        <v>1059.5</v>
      </c>
    </row>
    <row r="49" spans="2:6">
      <c r="B49" s="90" t="s">
        <v>48</v>
      </c>
      <c r="C49" s="101" t="s">
        <v>206</v>
      </c>
      <c r="D49" s="102">
        <v>41492</v>
      </c>
      <c r="E49" s="103">
        <f>F49/160</f>
        <v>3.78125</v>
      </c>
      <c r="F49" s="104">
        <v>605</v>
      </c>
    </row>
    <row r="50" spans="2:6">
      <c r="B50" s="90" t="s">
        <v>48</v>
      </c>
      <c r="C50" s="101" t="s">
        <v>206</v>
      </c>
      <c r="D50" s="102">
        <v>41493</v>
      </c>
      <c r="E50" s="103">
        <f>F50/160</f>
        <v>4.5125000000000002</v>
      </c>
      <c r="F50" s="104">
        <v>722</v>
      </c>
    </row>
    <row r="51" spans="2:6">
      <c r="B51" s="90" t="s">
        <v>54</v>
      </c>
      <c r="C51" s="101" t="s">
        <v>206</v>
      </c>
      <c r="D51" s="102">
        <v>41497</v>
      </c>
      <c r="E51" s="103">
        <f>F51/160</f>
        <v>5.46875</v>
      </c>
      <c r="F51" s="104">
        <v>875</v>
      </c>
    </row>
    <row r="52" spans="2:6">
      <c r="B52" s="90" t="s">
        <v>54</v>
      </c>
      <c r="C52" s="101" t="s">
        <v>206</v>
      </c>
      <c r="D52" s="102">
        <v>41498</v>
      </c>
      <c r="E52" s="103">
        <f>F52/160</f>
        <v>5.9015624999999998</v>
      </c>
      <c r="F52" s="104">
        <v>944.25</v>
      </c>
    </row>
    <row r="53" spans="2:6">
      <c r="B53" s="90" t="s">
        <v>54</v>
      </c>
      <c r="C53" s="101" t="s">
        <v>206</v>
      </c>
      <c r="D53" s="102">
        <v>41499</v>
      </c>
      <c r="E53" s="103">
        <f>F53/160</f>
        <v>5.5031249999999998</v>
      </c>
      <c r="F53" s="104">
        <v>880.5</v>
      </c>
    </row>
    <row r="54" spans="2:6">
      <c r="B54" s="90" t="s">
        <v>54</v>
      </c>
      <c r="C54" s="101" t="s">
        <v>206</v>
      </c>
      <c r="D54" s="102">
        <v>41499</v>
      </c>
      <c r="E54" s="103">
        <f>F54/160</f>
        <v>3.8125</v>
      </c>
      <c r="F54" s="104">
        <v>610</v>
      </c>
    </row>
    <row r="55" spans="2:6">
      <c r="B55" s="90" t="s">
        <v>54</v>
      </c>
      <c r="C55" s="101" t="s">
        <v>206</v>
      </c>
      <c r="D55" s="102">
        <v>41500</v>
      </c>
      <c r="E55" s="103">
        <f>F55/160</f>
        <v>4.3640625000000002</v>
      </c>
      <c r="F55" s="104">
        <v>698.25</v>
      </c>
    </row>
    <row r="56" spans="2:6">
      <c r="B56" s="90" t="s">
        <v>54</v>
      </c>
      <c r="C56" s="101" t="s">
        <v>206</v>
      </c>
      <c r="D56" s="102">
        <v>41501</v>
      </c>
      <c r="E56" s="103">
        <f>F56/160</f>
        <v>3.9656250000000002</v>
      </c>
      <c r="F56" s="104">
        <v>634.5</v>
      </c>
    </row>
    <row r="57" spans="2:6">
      <c r="B57" s="90" t="s">
        <v>208</v>
      </c>
      <c r="C57" s="101" t="s">
        <v>200</v>
      </c>
      <c r="D57" s="102">
        <v>41510</v>
      </c>
      <c r="E57" s="103">
        <f>F57/160</f>
        <v>5.3703124999999998</v>
      </c>
      <c r="F57" s="104">
        <v>859.25</v>
      </c>
    </row>
    <row r="58" spans="2:6">
      <c r="B58" s="90" t="s">
        <v>208</v>
      </c>
      <c r="C58" s="101" t="s">
        <v>200</v>
      </c>
      <c r="D58" s="102">
        <v>41514</v>
      </c>
      <c r="E58" s="103">
        <f>F58/160</f>
        <v>4.7625000000000002</v>
      </c>
      <c r="F58" s="104">
        <v>762</v>
      </c>
    </row>
    <row r="59" spans="2:6">
      <c r="B59" s="90" t="s">
        <v>208</v>
      </c>
      <c r="C59" s="101" t="s">
        <v>200</v>
      </c>
      <c r="D59" s="102">
        <v>41515</v>
      </c>
      <c r="E59" s="103">
        <f>F59/160</f>
        <v>3.8328125000000002</v>
      </c>
      <c r="F59" s="104">
        <v>613.25</v>
      </c>
    </row>
    <row r="60" spans="2:6">
      <c r="B60" s="90" t="s">
        <v>199</v>
      </c>
      <c r="C60" s="101" t="s">
        <v>200</v>
      </c>
      <c r="D60" s="102">
        <v>41516</v>
      </c>
      <c r="E60" s="103">
        <f>F60/160</f>
        <v>3.8250000000000002</v>
      </c>
      <c r="F60" s="104">
        <v>612</v>
      </c>
    </row>
    <row r="61" spans="2:6">
      <c r="B61" s="90" t="s">
        <v>201</v>
      </c>
      <c r="C61" s="101" t="s">
        <v>202</v>
      </c>
      <c r="D61" s="102">
        <v>41521</v>
      </c>
      <c r="E61" s="103">
        <f>F61/160</f>
        <v>5.7687499999999998</v>
      </c>
      <c r="F61" s="104">
        <v>923</v>
      </c>
    </row>
    <row r="62" spans="2:6">
      <c r="B62" s="90" t="s">
        <v>201</v>
      </c>
      <c r="C62" s="101" t="s">
        <v>202</v>
      </c>
      <c r="D62" s="102">
        <v>41522</v>
      </c>
      <c r="E62" s="103">
        <f>F62/160</f>
        <v>4.5734374999999998</v>
      </c>
      <c r="F62" s="104">
        <v>731.75</v>
      </c>
    </row>
    <row r="63" spans="2:6">
      <c r="B63" s="90" t="s">
        <v>201</v>
      </c>
      <c r="C63" s="101" t="s">
        <v>202</v>
      </c>
      <c r="D63" s="102">
        <v>41524</v>
      </c>
      <c r="E63" s="103">
        <f>F63/160</f>
        <v>3.3015625000000002</v>
      </c>
      <c r="F63" s="104">
        <v>528.25</v>
      </c>
    </row>
    <row r="64" spans="2:6">
      <c r="B64" s="90" t="s">
        <v>201</v>
      </c>
      <c r="C64" s="101" t="s">
        <v>202</v>
      </c>
      <c r="D64" s="102">
        <v>41525</v>
      </c>
      <c r="E64" s="103">
        <f>F64/160</f>
        <v>3.1687500000000002</v>
      </c>
      <c r="F64" s="104">
        <v>507</v>
      </c>
    </row>
    <row r="65" spans="2:6">
      <c r="B65" s="90" t="s">
        <v>201</v>
      </c>
      <c r="C65" s="101" t="s">
        <v>202</v>
      </c>
      <c r="D65" s="102">
        <v>41526</v>
      </c>
      <c r="E65" s="103">
        <f>F65/160</f>
        <v>4.2312500000000002</v>
      </c>
      <c r="F65" s="104">
        <v>677</v>
      </c>
    </row>
    <row r="66" spans="2:6">
      <c r="B66" s="90" t="s">
        <v>201</v>
      </c>
      <c r="C66" s="101" t="s">
        <v>202</v>
      </c>
      <c r="D66" s="102">
        <v>41530</v>
      </c>
      <c r="E66" s="103">
        <f>F66/160</f>
        <v>5.8125</v>
      </c>
      <c r="F66" s="104">
        <v>930</v>
      </c>
    </row>
    <row r="67" spans="2:6">
      <c r="B67" s="90" t="s">
        <v>201</v>
      </c>
      <c r="C67" s="101" t="s">
        <v>202</v>
      </c>
      <c r="D67" s="102">
        <v>41530</v>
      </c>
      <c r="E67" s="103">
        <f>F67/160</f>
        <v>5.4749999999999996</v>
      </c>
      <c r="F67" s="104">
        <v>876</v>
      </c>
    </row>
    <row r="68" spans="2:6">
      <c r="B68" s="90" t="s">
        <v>201</v>
      </c>
      <c r="C68" s="101" t="s">
        <v>202</v>
      </c>
      <c r="D68" s="102">
        <v>41531</v>
      </c>
      <c r="E68" s="103">
        <f>F68/160</f>
        <v>5.6078124999999996</v>
      </c>
      <c r="F68" s="104">
        <v>897.25</v>
      </c>
    </row>
    <row r="69" spans="2:6">
      <c r="B69" s="90" t="s">
        <v>201</v>
      </c>
      <c r="C69" s="101" t="s">
        <v>202</v>
      </c>
      <c r="D69" s="102">
        <v>41532</v>
      </c>
      <c r="E69" s="103">
        <f>F69/160</f>
        <v>5.3421874999999996</v>
      </c>
      <c r="F69" s="104">
        <v>854.75</v>
      </c>
    </row>
    <row r="70" spans="2:6">
      <c r="B70" s="90" t="s">
        <v>209</v>
      </c>
      <c r="C70" s="101" t="s">
        <v>202</v>
      </c>
      <c r="D70" s="102">
        <v>41533</v>
      </c>
      <c r="E70" s="103">
        <f>F70/160</f>
        <v>5.3125</v>
      </c>
      <c r="F70" s="104">
        <v>850</v>
      </c>
    </row>
    <row r="71" spans="2:6">
      <c r="B71" s="90" t="s">
        <v>209</v>
      </c>
      <c r="C71" s="101" t="s">
        <v>202</v>
      </c>
      <c r="D71" s="102">
        <v>41535</v>
      </c>
      <c r="E71" s="103">
        <f>F71/160</f>
        <v>5.2374999999999936</v>
      </c>
      <c r="F71" s="104">
        <v>837.99999999999898</v>
      </c>
    </row>
    <row r="72" spans="2:6">
      <c r="B72" s="90" t="s">
        <v>209</v>
      </c>
      <c r="C72" s="101" t="s">
        <v>202</v>
      </c>
      <c r="D72" s="102">
        <v>41537</v>
      </c>
      <c r="E72" s="103">
        <f>F72/160</f>
        <v>3.6999999999999935</v>
      </c>
      <c r="F72" s="104">
        <v>591.99999999999898</v>
      </c>
    </row>
    <row r="73" spans="2:6">
      <c r="B73" s="90" t="s">
        <v>209</v>
      </c>
      <c r="C73" s="101" t="s">
        <v>202</v>
      </c>
      <c r="D73" s="102">
        <v>41538</v>
      </c>
      <c r="E73" s="103">
        <f>F73/160</f>
        <v>3.4375</v>
      </c>
      <c r="F73" s="104">
        <v>550</v>
      </c>
    </row>
    <row r="74" spans="2:6">
      <c r="B74" s="90" t="s">
        <v>209</v>
      </c>
      <c r="C74" s="101" t="s">
        <v>202</v>
      </c>
      <c r="D74" s="102">
        <v>41539</v>
      </c>
      <c r="E74" s="103">
        <f>F74/160</f>
        <v>4.7468750000000002</v>
      </c>
      <c r="F74" s="104">
        <v>759.5</v>
      </c>
    </row>
    <row r="75" spans="2:6">
      <c r="B75" s="90" t="s">
        <v>203</v>
      </c>
      <c r="C75" s="101" t="s">
        <v>202</v>
      </c>
      <c r="D75" s="102">
        <v>41542</v>
      </c>
      <c r="E75" s="103">
        <f>F75/160</f>
        <v>4.8390624999999998</v>
      </c>
      <c r="F75" s="104">
        <v>774.25</v>
      </c>
    </row>
    <row r="76" spans="2:6">
      <c r="B76" s="90" t="s">
        <v>203</v>
      </c>
      <c r="C76" s="101" t="s">
        <v>202</v>
      </c>
      <c r="D76" s="102">
        <v>41543</v>
      </c>
      <c r="E76" s="103">
        <f>F76/160</f>
        <v>4.7062499999999998</v>
      </c>
      <c r="F76" s="104">
        <v>753</v>
      </c>
    </row>
    <row r="77" spans="2:6">
      <c r="B77" s="90" t="s">
        <v>203</v>
      </c>
      <c r="C77" s="101" t="s">
        <v>202</v>
      </c>
      <c r="D77" s="102">
        <v>41546</v>
      </c>
      <c r="E77" s="103">
        <f>F77/160</f>
        <v>4.1749999999999998</v>
      </c>
      <c r="F77" s="104">
        <v>668</v>
      </c>
    </row>
    <row r="78" spans="2:6">
      <c r="B78" s="90" t="s">
        <v>203</v>
      </c>
      <c r="C78" s="101" t="s">
        <v>202</v>
      </c>
      <c r="D78" s="102">
        <v>41548</v>
      </c>
      <c r="E78" s="103">
        <f>F78/160</f>
        <v>5.8250000000000002</v>
      </c>
      <c r="F78" s="104">
        <v>932</v>
      </c>
    </row>
    <row r="79" spans="2:6">
      <c r="B79" s="90" t="s">
        <v>210</v>
      </c>
      <c r="C79" s="101" t="s">
        <v>205</v>
      </c>
      <c r="D79" s="102">
        <v>41553</v>
      </c>
      <c r="E79" s="103">
        <f>F79/160</f>
        <v>5.8062500000000004</v>
      </c>
      <c r="F79" s="104">
        <v>929</v>
      </c>
    </row>
    <row r="80" spans="2:6">
      <c r="B80" s="90" t="s">
        <v>210</v>
      </c>
      <c r="C80" s="101" t="s">
        <v>205</v>
      </c>
      <c r="D80" s="102">
        <v>41554</v>
      </c>
      <c r="E80" s="103">
        <f>F80/160</f>
        <v>4.0046875000000002</v>
      </c>
      <c r="F80" s="104">
        <v>640.75</v>
      </c>
    </row>
    <row r="81" spans="2:6">
      <c r="B81" s="90" t="s">
        <v>52</v>
      </c>
      <c r="C81" s="101" t="s">
        <v>205</v>
      </c>
      <c r="D81" s="102">
        <v>41555</v>
      </c>
      <c r="E81" s="103">
        <f>F81/160</f>
        <v>4.9718749999999998</v>
      </c>
      <c r="F81" s="104">
        <v>795.5</v>
      </c>
    </row>
    <row r="82" spans="2:6">
      <c r="B82" s="90" t="s">
        <v>52</v>
      </c>
      <c r="C82" s="101" t="s">
        <v>205</v>
      </c>
      <c r="D82" s="102">
        <v>41556</v>
      </c>
      <c r="E82" s="103">
        <f>F82/160</f>
        <v>4.4406249999999998</v>
      </c>
      <c r="F82" s="104">
        <v>710.5</v>
      </c>
    </row>
    <row r="83" spans="2:6">
      <c r="B83" s="90" t="s">
        <v>204</v>
      </c>
      <c r="C83" s="101" t="s">
        <v>205</v>
      </c>
      <c r="D83" s="102">
        <v>41567</v>
      </c>
      <c r="E83" s="103">
        <f>F83/160</f>
        <v>3.4343750000000002</v>
      </c>
      <c r="F83" s="104">
        <v>549.5</v>
      </c>
    </row>
    <row r="84" spans="2:6">
      <c r="B84" s="90" t="s">
        <v>52</v>
      </c>
      <c r="C84" s="101" t="s">
        <v>205</v>
      </c>
      <c r="D84" s="102">
        <v>41590</v>
      </c>
      <c r="E84" s="103">
        <f>F84/160</f>
        <v>4.8187499999999996</v>
      </c>
      <c r="F84" s="104">
        <v>771</v>
      </c>
    </row>
    <row r="85" spans="2:6">
      <c r="B85" s="90" t="s">
        <v>204</v>
      </c>
      <c r="C85" s="101" t="s">
        <v>205</v>
      </c>
      <c r="D85" s="102">
        <v>41599</v>
      </c>
      <c r="E85" s="103">
        <f>F85/160</f>
        <v>5.7406249999999996</v>
      </c>
      <c r="F85" s="104">
        <v>918.5</v>
      </c>
    </row>
    <row r="86" spans="2:6">
      <c r="B86" s="90" t="s">
        <v>204</v>
      </c>
      <c r="C86" s="101" t="s">
        <v>205</v>
      </c>
      <c r="D86" s="102">
        <v>41600</v>
      </c>
      <c r="E86" s="103">
        <f>F86/160</f>
        <v>5.2093749999999996</v>
      </c>
      <c r="F86" s="104">
        <v>833.5</v>
      </c>
    </row>
    <row r="87" spans="2:6">
      <c r="B87" s="90" t="s">
        <v>203</v>
      </c>
      <c r="C87" s="101" t="s">
        <v>202</v>
      </c>
      <c r="D87" s="102">
        <v>41611</v>
      </c>
      <c r="E87" s="103">
        <f>F87/160</f>
        <v>4.9437499999999996</v>
      </c>
      <c r="F87" s="104">
        <v>791</v>
      </c>
    </row>
    <row r="88" spans="2:6">
      <c r="B88" s="90" t="s">
        <v>47</v>
      </c>
      <c r="C88" s="101" t="s">
        <v>205</v>
      </c>
      <c r="D88" s="102">
        <v>41622</v>
      </c>
      <c r="E88" s="103">
        <f>F88/160</f>
        <v>4.496874999999994</v>
      </c>
      <c r="F88" s="104">
        <v>719.49999999999898</v>
      </c>
    </row>
    <row r="89" spans="2:6">
      <c r="B89" s="90" t="s">
        <v>204</v>
      </c>
      <c r="C89" s="101" t="s">
        <v>205</v>
      </c>
      <c r="D89" s="102">
        <v>41627</v>
      </c>
      <c r="E89" s="103">
        <f>F89/160</f>
        <v>4.8953125000000002</v>
      </c>
      <c r="F89" s="104">
        <v>783.25</v>
      </c>
    </row>
    <row r="90" spans="2:6" ht="15">
      <c r="B90" s="110"/>
      <c r="C90" s="110"/>
      <c r="D90" s="110"/>
      <c r="E90" s="110"/>
      <c r="F90" s="110"/>
    </row>
    <row r="91" spans="2:6" ht="15">
      <c r="B91" s="110"/>
      <c r="C91" s="110"/>
      <c r="D91" s="110"/>
      <c r="E91" s="110"/>
      <c r="F91" s="110"/>
    </row>
    <row r="92" spans="2:6" ht="15">
      <c r="B92" s="110"/>
      <c r="C92" s="110"/>
      <c r="D92" s="110"/>
      <c r="E92" s="110"/>
      <c r="F92" s="110"/>
    </row>
    <row r="93" spans="2:6" ht="15">
      <c r="B93" s="110"/>
      <c r="C93" s="110"/>
      <c r="D93" s="110"/>
      <c r="E93" s="110"/>
      <c r="F93" s="110"/>
    </row>
    <row r="94" spans="2:6" ht="15">
      <c r="B94" s="110"/>
      <c r="C94" s="110"/>
      <c r="D94" s="110"/>
      <c r="E94" s="110"/>
      <c r="F94" s="110"/>
    </row>
    <row r="95" spans="2:6" ht="15">
      <c r="B95" s="110"/>
      <c r="C95" s="110"/>
      <c r="D95" s="110"/>
      <c r="E95" s="110"/>
      <c r="F95" s="110"/>
    </row>
    <row r="96" spans="2:6" ht="15">
      <c r="B96" s="110"/>
      <c r="C96" s="110"/>
      <c r="D96" s="110"/>
      <c r="E96" s="110"/>
      <c r="F96" s="110"/>
    </row>
    <row r="97" spans="2:6" ht="15">
      <c r="B97" s="110"/>
      <c r="C97" s="110"/>
      <c r="D97" s="110"/>
      <c r="E97" s="110"/>
      <c r="F97" s="110"/>
    </row>
    <row r="98" spans="2:6" ht="15">
      <c r="B98" s="110"/>
      <c r="C98" s="110"/>
      <c r="D98" s="110"/>
      <c r="E98" s="110"/>
      <c r="F98" s="110"/>
    </row>
    <row r="99" spans="2:6" ht="15">
      <c r="B99" s="110"/>
      <c r="C99" s="110"/>
      <c r="D99" s="110"/>
      <c r="E99" s="110"/>
      <c r="F99" s="110"/>
    </row>
    <row r="100" spans="2:6" ht="15">
      <c r="B100" s="110"/>
      <c r="C100" s="110"/>
      <c r="D100" s="110"/>
      <c r="E100" s="110"/>
      <c r="F100" s="110"/>
    </row>
    <row r="101" spans="2:6" ht="15">
      <c r="B101" s="110"/>
      <c r="C101" s="110"/>
      <c r="D101" s="110"/>
      <c r="E101" s="110"/>
      <c r="F101" s="110"/>
    </row>
    <row r="102" spans="2:6" ht="15">
      <c r="B102" s="110"/>
      <c r="C102" s="110"/>
      <c r="D102" s="110"/>
      <c r="E102" s="110"/>
      <c r="F102" s="110"/>
    </row>
    <row r="103" spans="2:6" ht="15">
      <c r="B103" s="110"/>
      <c r="C103" s="110"/>
      <c r="D103" s="110"/>
      <c r="E103" s="110"/>
      <c r="F103" s="110"/>
    </row>
    <row r="104" spans="2:6" ht="15">
      <c r="B104" s="110"/>
      <c r="C104" s="110"/>
      <c r="D104" s="110"/>
      <c r="E104" s="110"/>
      <c r="F104" s="110"/>
    </row>
    <row r="105" spans="2:6" ht="15">
      <c r="B105" s="110"/>
      <c r="C105" s="110"/>
      <c r="D105" s="110"/>
      <c r="E105" s="110"/>
      <c r="F105" s="110"/>
    </row>
    <row r="106" spans="2:6" ht="15">
      <c r="B106" s="110"/>
      <c r="C106" s="110"/>
      <c r="D106" s="110"/>
      <c r="E106" s="110"/>
      <c r="F106" s="110"/>
    </row>
    <row r="107" spans="2:6" ht="15">
      <c r="B107" s="110"/>
      <c r="C107" s="110"/>
      <c r="D107" s="110"/>
      <c r="E107" s="110"/>
      <c r="F107" s="110"/>
    </row>
    <row r="108" spans="2:6" ht="15">
      <c r="B108" s="110"/>
      <c r="C108" s="110"/>
      <c r="D108" s="110"/>
      <c r="E108" s="110"/>
      <c r="F108" s="110"/>
    </row>
    <row r="109" spans="2:6" ht="15">
      <c r="B109" s="110"/>
      <c r="C109" s="110"/>
      <c r="D109" s="110"/>
      <c r="E109" s="110"/>
      <c r="F109" s="110"/>
    </row>
    <row r="110" spans="2:6" ht="15">
      <c r="B110" s="110"/>
      <c r="C110" s="110"/>
      <c r="D110" s="110"/>
      <c r="E110" s="110"/>
      <c r="F110" s="110"/>
    </row>
    <row r="111" spans="2:6" ht="15">
      <c r="B111" s="110"/>
      <c r="C111" s="110"/>
      <c r="D111" s="110"/>
      <c r="E111" s="110"/>
      <c r="F111" s="110"/>
    </row>
    <row r="112" spans="2:6" ht="15">
      <c r="B112" s="110"/>
      <c r="C112" s="110"/>
      <c r="D112" s="110"/>
      <c r="E112" s="110"/>
      <c r="F112" s="110"/>
    </row>
    <row r="113" spans="2:6" ht="15">
      <c r="B113" s="110"/>
      <c r="C113" s="110"/>
      <c r="D113" s="110"/>
      <c r="E113" s="110"/>
      <c r="F113" s="110"/>
    </row>
    <row r="114" spans="2:6" ht="15">
      <c r="B114" s="110"/>
      <c r="C114" s="110"/>
      <c r="D114" s="110"/>
      <c r="E114" s="110"/>
      <c r="F114" s="110"/>
    </row>
    <row r="115" spans="2:6" ht="15">
      <c r="B115" s="110"/>
      <c r="C115" s="110"/>
      <c r="D115" s="110"/>
      <c r="E115" s="110"/>
      <c r="F115" s="110"/>
    </row>
    <row r="116" spans="2:6" ht="15">
      <c r="B116" s="110"/>
      <c r="C116" s="110"/>
      <c r="D116" s="110"/>
      <c r="E116" s="110"/>
      <c r="F116" s="110"/>
    </row>
    <row r="117" spans="2:6" ht="15">
      <c r="B117" s="110"/>
      <c r="C117" s="110"/>
      <c r="D117" s="110"/>
      <c r="E117" s="110"/>
      <c r="F117" s="110"/>
    </row>
    <row r="118" spans="2:6" ht="15">
      <c r="B118" s="110"/>
      <c r="C118" s="110"/>
      <c r="D118" s="110"/>
      <c r="E118" s="110"/>
      <c r="F118" s="110"/>
    </row>
    <row r="119" spans="2:6" ht="15">
      <c r="B119" s="110"/>
      <c r="C119" s="110"/>
      <c r="D119" s="110"/>
      <c r="E119" s="110"/>
      <c r="F119" s="110"/>
    </row>
    <row r="120" spans="2:6" ht="15">
      <c r="B120" s="110"/>
      <c r="C120" s="110"/>
      <c r="D120" s="110"/>
      <c r="E120" s="110"/>
      <c r="F120" s="110"/>
    </row>
    <row r="121" spans="2:6" ht="15">
      <c r="B121" s="110"/>
      <c r="C121" s="110"/>
      <c r="D121" s="110"/>
      <c r="E121" s="110"/>
      <c r="F121" s="110"/>
    </row>
    <row r="122" spans="2:6" ht="15">
      <c r="B122" s="110"/>
      <c r="C122" s="110"/>
      <c r="D122" s="110"/>
      <c r="E122" s="110"/>
      <c r="F122" s="110"/>
    </row>
    <row r="123" spans="2:6" ht="15">
      <c r="B123" s="110"/>
      <c r="C123" s="110"/>
      <c r="D123" s="110"/>
      <c r="E123" s="110"/>
      <c r="F123" s="110"/>
    </row>
    <row r="124" spans="2:6" ht="15">
      <c r="B124" s="110"/>
      <c r="C124" s="110"/>
      <c r="D124" s="110"/>
      <c r="E124" s="110"/>
      <c r="F124" s="110"/>
    </row>
    <row r="125" spans="2:6" ht="15">
      <c r="B125" s="110"/>
      <c r="C125" s="110"/>
      <c r="D125" s="110"/>
      <c r="E125" s="110"/>
      <c r="F125" s="110"/>
    </row>
    <row r="126" spans="2:6" ht="15">
      <c r="B126" s="110"/>
      <c r="C126" s="110"/>
      <c r="D126" s="110"/>
      <c r="E126" s="110"/>
      <c r="F126" s="110"/>
    </row>
    <row r="127" spans="2:6" ht="15">
      <c r="B127" s="110"/>
      <c r="C127" s="110"/>
      <c r="D127" s="110"/>
      <c r="E127" s="110"/>
      <c r="F127" s="110"/>
    </row>
    <row r="128" spans="2:6" ht="15">
      <c r="B128" s="110"/>
      <c r="C128" s="110"/>
      <c r="D128" s="110"/>
      <c r="E128" s="110"/>
      <c r="F128" s="110"/>
    </row>
    <row r="129" spans="2:6" ht="15">
      <c r="B129" s="110"/>
      <c r="C129" s="110"/>
      <c r="D129" s="110"/>
      <c r="E129" s="110"/>
      <c r="F129" s="110"/>
    </row>
    <row r="130" spans="2:6" ht="15">
      <c r="B130" s="110"/>
      <c r="C130" s="110"/>
      <c r="D130" s="110"/>
      <c r="E130" s="110"/>
      <c r="F130" s="110"/>
    </row>
    <row r="131" spans="2:6" ht="15">
      <c r="B131" s="110"/>
      <c r="C131" s="110"/>
      <c r="D131" s="110"/>
      <c r="E131" s="110"/>
      <c r="F131" s="110"/>
    </row>
    <row r="132" spans="2:6" ht="15">
      <c r="B132" s="110"/>
      <c r="C132" s="110"/>
      <c r="D132" s="110"/>
      <c r="E132" s="110"/>
      <c r="F132" s="110"/>
    </row>
    <row r="133" spans="2:6" ht="15">
      <c r="B133" s="110"/>
      <c r="C133" s="110"/>
      <c r="D133" s="110"/>
      <c r="E133" s="110"/>
      <c r="F133" s="110"/>
    </row>
    <row r="134" spans="2:6" ht="15">
      <c r="B134" s="110"/>
      <c r="C134" s="110"/>
      <c r="D134" s="110"/>
      <c r="E134" s="110"/>
      <c r="F134" s="110"/>
    </row>
    <row r="135" spans="2:6" ht="15">
      <c r="B135" s="110"/>
      <c r="C135" s="110"/>
      <c r="D135" s="110"/>
      <c r="E135" s="110"/>
      <c r="F135" s="110"/>
    </row>
    <row r="136" spans="2:6" ht="15">
      <c r="B136" s="110"/>
      <c r="C136" s="110"/>
      <c r="D136" s="110"/>
      <c r="E136" s="110"/>
      <c r="F136" s="110"/>
    </row>
    <row r="137" spans="2:6" ht="15">
      <c r="B137" s="110"/>
      <c r="C137" s="110"/>
      <c r="D137" s="110"/>
      <c r="E137" s="110"/>
      <c r="F137" s="110"/>
    </row>
    <row r="138" spans="2:6" ht="15">
      <c r="B138" s="110"/>
      <c r="C138" s="110"/>
      <c r="D138" s="110"/>
      <c r="E138" s="110"/>
      <c r="F138" s="110"/>
    </row>
    <row r="139" spans="2:6" ht="15">
      <c r="B139" s="110"/>
      <c r="C139" s="110"/>
      <c r="D139" s="110"/>
      <c r="E139" s="110"/>
      <c r="F139" s="110"/>
    </row>
    <row r="140" spans="2:6" ht="15">
      <c r="B140" s="110"/>
      <c r="C140" s="110"/>
      <c r="D140" s="110"/>
      <c r="E140" s="110"/>
      <c r="F140" s="110"/>
    </row>
    <row r="141" spans="2:6" ht="15">
      <c r="B141" s="110"/>
      <c r="C141" s="110"/>
      <c r="D141" s="110"/>
      <c r="E141" s="110"/>
      <c r="F141" s="110"/>
    </row>
    <row r="142" spans="2:6" ht="15">
      <c r="B142" s="110"/>
      <c r="C142" s="110"/>
      <c r="D142" s="110"/>
      <c r="E142" s="110"/>
      <c r="F142" s="110"/>
    </row>
    <row r="143" spans="2:6" ht="15">
      <c r="B143" s="110"/>
      <c r="C143" s="110"/>
      <c r="D143" s="110"/>
      <c r="E143" s="110"/>
      <c r="F143" s="110"/>
    </row>
    <row r="144" spans="2:6" ht="15">
      <c r="B144" s="110"/>
      <c r="C144" s="110"/>
      <c r="D144" s="110"/>
      <c r="E144" s="110"/>
      <c r="F144" s="110"/>
    </row>
    <row r="145" spans="2:6" ht="15">
      <c r="B145" s="110"/>
      <c r="C145" s="110"/>
      <c r="D145" s="110"/>
      <c r="E145" s="110"/>
      <c r="F145" s="110"/>
    </row>
    <row r="146" spans="2:6" ht="15">
      <c r="B146" s="110"/>
      <c r="C146" s="110"/>
      <c r="D146" s="110"/>
      <c r="E146" s="110"/>
      <c r="F146" s="110"/>
    </row>
    <row r="147" spans="2:6" ht="15">
      <c r="B147" s="110"/>
      <c r="C147" s="110"/>
      <c r="D147" s="110"/>
      <c r="E147" s="110"/>
      <c r="F147" s="110"/>
    </row>
    <row r="148" spans="2:6" ht="15">
      <c r="B148" s="110"/>
      <c r="C148" s="110"/>
      <c r="D148" s="110"/>
      <c r="E148" s="110"/>
      <c r="F148" s="110"/>
    </row>
    <row r="149" spans="2:6" ht="15">
      <c r="B149" s="110"/>
      <c r="C149" s="110"/>
      <c r="D149" s="110"/>
      <c r="E149" s="110"/>
      <c r="F149" s="110"/>
    </row>
    <row r="150" spans="2:6" ht="15">
      <c r="B150" s="110"/>
      <c r="C150" s="110"/>
      <c r="D150" s="110"/>
      <c r="E150" s="110"/>
      <c r="F150" s="110"/>
    </row>
    <row r="151" spans="2:6" ht="15">
      <c r="B151" s="110"/>
      <c r="C151" s="110"/>
      <c r="D151" s="110"/>
      <c r="E151" s="110"/>
      <c r="F151" s="110"/>
    </row>
    <row r="152" spans="2:6" ht="15">
      <c r="B152" s="110"/>
      <c r="C152" s="110"/>
      <c r="D152" s="110"/>
      <c r="E152" s="110"/>
      <c r="F152" s="110"/>
    </row>
    <row r="153" spans="2:6" ht="15">
      <c r="B153" s="110"/>
      <c r="C153" s="110"/>
      <c r="D153" s="110"/>
      <c r="E153" s="110"/>
      <c r="F153" s="110"/>
    </row>
    <row r="154" spans="2:6" ht="15">
      <c r="B154" s="110"/>
      <c r="C154" s="110"/>
      <c r="D154" s="110"/>
      <c r="E154" s="110"/>
      <c r="F154" s="110"/>
    </row>
    <row r="155" spans="2:6" ht="15">
      <c r="B155" s="110"/>
      <c r="C155" s="110"/>
      <c r="D155" s="110"/>
      <c r="E155" s="110"/>
      <c r="F155" s="110"/>
    </row>
    <row r="156" spans="2:6" ht="15">
      <c r="B156" s="110"/>
      <c r="C156" s="110"/>
      <c r="D156" s="110"/>
      <c r="E156" s="110"/>
      <c r="F156" s="110"/>
    </row>
    <row r="157" spans="2:6" ht="15">
      <c r="B157" s="110"/>
      <c r="C157" s="110"/>
      <c r="D157" s="110"/>
      <c r="E157" s="110"/>
      <c r="F157" s="110"/>
    </row>
    <row r="158" spans="2:6" ht="15">
      <c r="B158" s="110"/>
      <c r="C158" s="110"/>
      <c r="D158" s="110"/>
      <c r="E158" s="110"/>
      <c r="F158" s="110"/>
    </row>
  </sheetData>
  <pageMargins left="0.75" right="0.75" top="1" bottom="1" header="0.51180555555555496" footer="0.51180555555555496"/>
  <pageSetup firstPageNumber="0" orientation="landscape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MJ94"/>
  <sheetViews>
    <sheetView topLeftCell="A4" zoomScale="80" zoomScaleNormal="80" workbookViewId="0">
      <selection activeCell="K12" sqref="K12"/>
    </sheetView>
  </sheetViews>
  <sheetFormatPr defaultColWidth="8" defaultRowHeight="13.15"/>
  <cols>
    <col min="1" max="1" width="9" style="111" customWidth="1"/>
    <col min="2" max="6" width="8" style="111"/>
    <col min="7" max="7" width="8.75" style="111" customWidth="1"/>
    <col min="8" max="1024" width="8" style="111"/>
  </cols>
  <sheetData>
    <row r="2" spans="2:11" ht="13.9">
      <c r="B2" s="16"/>
    </row>
    <row r="3" spans="2:11" ht="13.9">
      <c r="B3" s="16" t="s">
        <v>211</v>
      </c>
    </row>
    <row r="5" spans="2:11" ht="15.6">
      <c r="B5" s="112"/>
    </row>
    <row r="6" spans="2:11">
      <c r="B6" s="113" t="s">
        <v>212</v>
      </c>
    </row>
    <row r="7" spans="2:11">
      <c r="B7" s="113" t="s">
        <v>213</v>
      </c>
    </row>
    <row r="8" spans="2:11">
      <c r="B8" s="113" t="s">
        <v>214</v>
      </c>
    </row>
    <row r="11" spans="2:11" ht="12.75">
      <c r="F11" s="114" t="s">
        <v>215</v>
      </c>
      <c r="I11" s="113" t="s">
        <v>216</v>
      </c>
      <c r="K11" s="115" t="s">
        <v>217</v>
      </c>
    </row>
    <row r="12" spans="2:11" ht="13.9">
      <c r="F12" s="116">
        <v>-5.7</v>
      </c>
      <c r="I12" s="111">
        <v>-30</v>
      </c>
      <c r="K12">
        <f>FREQUENCY(F12:F94,I12:I17)</f>
        <v>0</v>
      </c>
    </row>
    <row r="13" spans="2:11" ht="13.9">
      <c r="F13" s="116">
        <v>1.2</v>
      </c>
      <c r="I13" s="111">
        <v>-20</v>
      </c>
      <c r="K13">
        <f>FREQUENCY(F13:F95,I13:I18)</f>
        <v>1</v>
      </c>
    </row>
    <row r="14" spans="2:11" ht="13.9">
      <c r="F14" s="116">
        <v>4.0999999999999996</v>
      </c>
      <c r="I14" s="111">
        <v>-10</v>
      </c>
      <c r="K14">
        <f>FREQUENCY(F14:F96,I14:I19)</f>
        <v>6</v>
      </c>
    </row>
    <row r="15" spans="2:11" ht="13.9">
      <c r="F15" s="116">
        <v>3.2</v>
      </c>
      <c r="I15" s="111">
        <v>0</v>
      </c>
      <c r="K15">
        <f>FREQUENCY(F15:F97,I15:I20)</f>
        <v>27</v>
      </c>
    </row>
    <row r="16" spans="2:11" ht="13.9">
      <c r="F16" s="116">
        <v>7.3</v>
      </c>
      <c r="I16" s="111">
        <v>10</v>
      </c>
      <c r="K16">
        <f>FREQUENCY(F16:F98,I16:I21)</f>
        <v>69</v>
      </c>
    </row>
    <row r="17" spans="6:11" ht="13.9">
      <c r="F17" s="116">
        <v>7.5</v>
      </c>
      <c r="I17" s="111">
        <v>20</v>
      </c>
      <c r="K17">
        <f>FREQUENCY(F17:F99,I17:I22)</f>
        <v>78</v>
      </c>
    </row>
    <row r="18" spans="6:11" ht="13.9">
      <c r="F18" s="116">
        <v>18.600000000000001</v>
      </c>
      <c r="K18">
        <f>FREQUENCY(F18:F100,I18:I23)</f>
        <v>27</v>
      </c>
    </row>
    <row r="19" spans="6:11" ht="13.9">
      <c r="F19" s="116">
        <v>3.7</v>
      </c>
      <c r="K19">
        <f>FREQUENCY(F19:F101,I19:I24)</f>
        <v>27</v>
      </c>
    </row>
    <row r="20" spans="6:11" ht="13.9">
      <c r="F20" s="116">
        <v>-1.8</v>
      </c>
      <c r="K20">
        <f>FREQUENCY(F20:F102,I20:I25)</f>
        <v>27</v>
      </c>
    </row>
    <row r="21" spans="6:11" ht="13.9">
      <c r="F21" s="116">
        <v>2.4</v>
      </c>
      <c r="K21">
        <f>FREQUENCY(F21:F103,I21:I26)</f>
        <v>26</v>
      </c>
    </row>
    <row r="22" spans="6:11" ht="13.9">
      <c r="F22" s="116">
        <v>-6.5</v>
      </c>
      <c r="K22">
        <f>FREQUENCY(F22:F104,I22:I27)</f>
        <v>26</v>
      </c>
    </row>
    <row r="23" spans="6:11" ht="13.9">
      <c r="F23" s="116">
        <v>6.7</v>
      </c>
      <c r="K23">
        <f>FREQUENCY(F23:F105,I23:I28)</f>
        <v>25</v>
      </c>
    </row>
    <row r="24" spans="6:11" ht="13.9">
      <c r="F24" s="116">
        <v>9.4</v>
      </c>
      <c r="K24">
        <f>FREQUENCY(F24:F106,I24:I29)</f>
        <v>25</v>
      </c>
    </row>
    <row r="25" spans="6:11" ht="13.9">
      <c r="F25" s="116">
        <v>-2</v>
      </c>
      <c r="K25">
        <f>FREQUENCY(F25:F107,I25:I30)</f>
        <v>25</v>
      </c>
    </row>
    <row r="26" spans="6:11" ht="13.9">
      <c r="F26" s="116">
        <v>-2.8</v>
      </c>
      <c r="K26">
        <f>FREQUENCY(F26:F108,I26:I31)</f>
        <v>24</v>
      </c>
    </row>
    <row r="27" spans="6:11" ht="13.9">
      <c r="F27" s="116">
        <v>-3.4</v>
      </c>
      <c r="K27">
        <f>FREQUENCY(F27:F109,I27:I32)</f>
        <v>23</v>
      </c>
    </row>
    <row r="28" spans="6:11" ht="13.9">
      <c r="F28" s="116">
        <v>19.2</v>
      </c>
      <c r="K28">
        <f>FREQUENCY(F28:F110,I28:I33)</f>
        <v>22</v>
      </c>
    </row>
    <row r="29" spans="6:11" ht="13.9">
      <c r="F29" s="116">
        <v>-4.8</v>
      </c>
      <c r="K29">
        <f>FREQUENCY(F29:F111,I29:I34)</f>
        <v>22</v>
      </c>
    </row>
    <row r="30" spans="6:11" ht="13.9">
      <c r="F30" s="116">
        <v>0.5</v>
      </c>
      <c r="K30">
        <f>FREQUENCY(F30:F112,I30:I35)</f>
        <v>21</v>
      </c>
    </row>
    <row r="31" spans="6:11" ht="13.9">
      <c r="F31" s="116">
        <v>-0.6</v>
      </c>
      <c r="K31">
        <f>FREQUENCY(F31:F113,I31:I36)</f>
        <v>21</v>
      </c>
    </row>
    <row r="32" spans="6:11" ht="13.9">
      <c r="F32" s="116">
        <v>2.8</v>
      </c>
      <c r="K32">
        <f>FREQUENCY(F32:F114,I32:I37)</f>
        <v>20</v>
      </c>
    </row>
    <row r="33" spans="6:11" ht="13.9">
      <c r="F33" s="116">
        <v>-0.5</v>
      </c>
      <c r="K33">
        <f>FREQUENCY(F33:F115,I33:I38)</f>
        <v>20</v>
      </c>
    </row>
    <row r="34" spans="6:11" ht="13.9">
      <c r="F34" s="116">
        <v>-4.5</v>
      </c>
      <c r="K34">
        <f>FREQUENCY(F34:F116,I34:I39)</f>
        <v>19</v>
      </c>
    </row>
    <row r="35" spans="6:11" ht="13.9">
      <c r="F35" s="116">
        <v>8.6999999999999993</v>
      </c>
      <c r="K35">
        <f>FREQUENCY(F35:F117,I35:I40)</f>
        <v>18</v>
      </c>
    </row>
    <row r="36" spans="6:11" ht="13.9">
      <c r="F36" s="116">
        <v>2.7</v>
      </c>
      <c r="K36">
        <f>FREQUENCY(F36:F118,I36:I41)</f>
        <v>18</v>
      </c>
    </row>
    <row r="37" spans="6:11" ht="13.9">
      <c r="F37" s="116">
        <v>4.0999999999999996</v>
      </c>
      <c r="K37">
        <f>FREQUENCY(F37:F119,I37:I42)</f>
        <v>18</v>
      </c>
    </row>
    <row r="38" spans="6:11" ht="13.9">
      <c r="F38" s="116">
        <v>-10.3</v>
      </c>
      <c r="K38">
        <f>FREQUENCY(F38:F120,I38:I43)</f>
        <v>18</v>
      </c>
    </row>
    <row r="39" spans="6:11" ht="13.9">
      <c r="F39" s="116">
        <v>4.8</v>
      </c>
      <c r="K39">
        <f>FREQUENCY(F39:F121,I39:I44)</f>
        <v>17</v>
      </c>
    </row>
    <row r="40" spans="6:11" ht="13.9">
      <c r="F40" s="116">
        <v>-2.2999999999999998</v>
      </c>
      <c r="K40">
        <f>FREQUENCY(F40:F122,I40:I45)</f>
        <v>17</v>
      </c>
    </row>
    <row r="41" spans="6:11" ht="13.9">
      <c r="F41" s="116">
        <v>-3.1</v>
      </c>
      <c r="K41">
        <f>FREQUENCY(F41:F123,I41:I46)</f>
        <v>16</v>
      </c>
    </row>
    <row r="42" spans="6:11" ht="13.9">
      <c r="F42" s="116">
        <v>-10.199999999999999</v>
      </c>
      <c r="K42">
        <f>FREQUENCY(F42:F124,I42:I47)</f>
        <v>15</v>
      </c>
    </row>
    <row r="43" spans="6:11" ht="13.9">
      <c r="F43" s="116">
        <v>-3.7</v>
      </c>
      <c r="K43">
        <f>FREQUENCY(F43:F125,I43:I48)</f>
        <v>14</v>
      </c>
    </row>
    <row r="44" spans="6:11" ht="13.9">
      <c r="F44" s="116">
        <v>-26.6</v>
      </c>
      <c r="K44">
        <f>FREQUENCY(F44:F126,I44:I49)</f>
        <v>13</v>
      </c>
    </row>
    <row r="45" spans="6:11" ht="13.9">
      <c r="F45" s="116">
        <v>7.2</v>
      </c>
      <c r="K45">
        <f>FREQUENCY(F45:F127,I45:I50)</f>
        <v>12</v>
      </c>
    </row>
    <row r="46" spans="6:11" ht="13.9">
      <c r="F46" s="116">
        <v>-2.9</v>
      </c>
      <c r="K46">
        <f>FREQUENCY(F46:F128,I46:I51)</f>
        <v>12</v>
      </c>
    </row>
    <row r="47" spans="6:11" ht="13.9">
      <c r="F47" s="116">
        <v>-2.2999999999999998</v>
      </c>
      <c r="K47">
        <f>FREQUENCY(F47:F129,I47:I52)</f>
        <v>11</v>
      </c>
    </row>
    <row r="48" spans="6:11" ht="13.9">
      <c r="F48" s="116">
        <v>3.5</v>
      </c>
      <c r="K48">
        <f>FREQUENCY(F48:F130,I48:I53)</f>
        <v>10</v>
      </c>
    </row>
    <row r="49" spans="6:11" ht="13.9">
      <c r="F49" s="116">
        <v>-4.5999999999999996</v>
      </c>
      <c r="K49">
        <f>FREQUENCY(F49:F131,I49:I54)</f>
        <v>10</v>
      </c>
    </row>
    <row r="50" spans="6:11" ht="13.9">
      <c r="F50" s="116">
        <v>17.2</v>
      </c>
      <c r="K50">
        <f>FREQUENCY(F50:F132,I50:I55)</f>
        <v>9</v>
      </c>
    </row>
    <row r="51" spans="6:11" ht="13.9">
      <c r="F51" s="116">
        <v>4.2</v>
      </c>
      <c r="K51">
        <f>FREQUENCY(F51:F133,I51:I56)</f>
        <v>9</v>
      </c>
    </row>
    <row r="52" spans="6:11" ht="13.9">
      <c r="F52" s="116">
        <v>0.5</v>
      </c>
      <c r="K52">
        <f>FREQUENCY(F52:F134,I52:I57)</f>
        <v>9</v>
      </c>
    </row>
    <row r="53" spans="6:11" ht="13.9">
      <c r="F53" s="116">
        <v>8.3000000000000007</v>
      </c>
      <c r="K53">
        <f>FREQUENCY(F53:F135,I53:I58)</f>
        <v>9</v>
      </c>
    </row>
    <row r="54" spans="6:11" ht="13.9">
      <c r="F54" s="116">
        <v>-7.1</v>
      </c>
      <c r="K54">
        <f>FREQUENCY(F54:F136,I54:I59)</f>
        <v>9</v>
      </c>
    </row>
    <row r="55" spans="6:11" ht="13.9">
      <c r="F55" s="116">
        <v>-8.4</v>
      </c>
      <c r="K55">
        <f>FREQUENCY(F55:F137,I55:I60)</f>
        <v>8</v>
      </c>
    </row>
    <row r="56" spans="6:11" ht="13.9">
      <c r="F56" s="116">
        <v>7.7</v>
      </c>
      <c r="K56">
        <f>FREQUENCY(F56:F138,I56:I61)</f>
        <v>7</v>
      </c>
    </row>
    <row r="57" spans="6:11" ht="13.9">
      <c r="F57" s="116">
        <v>-9.6</v>
      </c>
      <c r="K57">
        <f>FREQUENCY(F57:F139,I57:I62)</f>
        <v>7</v>
      </c>
    </row>
    <row r="58" spans="6:11" ht="13.9">
      <c r="F58" s="116">
        <v>6</v>
      </c>
      <c r="K58">
        <f>FREQUENCY(F58:F140,I58:I63)</f>
        <v>6</v>
      </c>
    </row>
    <row r="59" spans="6:11" ht="13.9">
      <c r="F59" s="116">
        <v>6.8</v>
      </c>
      <c r="K59">
        <f>FREQUENCY(F59:F141,I59:I64)</f>
        <v>6</v>
      </c>
    </row>
    <row r="60" spans="6:11" ht="13.9">
      <c r="F60" s="116">
        <v>10.9</v>
      </c>
      <c r="K60">
        <f>FREQUENCY(F60:F142,I60:I65)</f>
        <v>6</v>
      </c>
    </row>
    <row r="61" spans="6:11" ht="13.9">
      <c r="F61" s="116">
        <v>1.6</v>
      </c>
      <c r="K61">
        <f>FREQUENCY(F61:F143,I61:I66)</f>
        <v>6</v>
      </c>
    </row>
    <row r="62" spans="6:11" ht="13.9">
      <c r="F62" s="116">
        <v>0.2</v>
      </c>
      <c r="K62">
        <f>FREQUENCY(F62:F144,I62:I67)</f>
        <v>6</v>
      </c>
    </row>
    <row r="63" spans="6:11" ht="13.9">
      <c r="F63" s="116">
        <v>-2.4</v>
      </c>
      <c r="K63">
        <f>FREQUENCY(F63:F145,I63:I68)</f>
        <v>6</v>
      </c>
    </row>
    <row r="64" spans="6:11" ht="13.9">
      <c r="F64" s="116">
        <v>-2.4</v>
      </c>
      <c r="K64">
        <f>FREQUENCY(F64:F146,I64:I69)</f>
        <v>5</v>
      </c>
    </row>
    <row r="65" spans="6:11" ht="13.9">
      <c r="F65" s="116">
        <v>3.9</v>
      </c>
      <c r="K65">
        <f>FREQUENCY(F65:F147,I65:I70)</f>
        <v>4</v>
      </c>
    </row>
    <row r="66" spans="6:11" ht="13.9">
      <c r="F66" s="116">
        <v>1.7</v>
      </c>
      <c r="K66">
        <f>FREQUENCY(F66:F148,I66:I71)</f>
        <v>4</v>
      </c>
    </row>
    <row r="67" spans="6:11" ht="13.9">
      <c r="F67" s="116">
        <v>9</v>
      </c>
      <c r="K67">
        <f>FREQUENCY(F67:F149,I67:I72)</f>
        <v>4</v>
      </c>
    </row>
    <row r="68" spans="6:11" ht="13.9">
      <c r="F68" s="116">
        <v>3.6</v>
      </c>
      <c r="K68">
        <f>FREQUENCY(F68:F150,I68:I73)</f>
        <v>4</v>
      </c>
    </row>
    <row r="69" spans="6:11" ht="13.9">
      <c r="F69" s="116">
        <v>7.6</v>
      </c>
      <c r="K69">
        <f>FREQUENCY(F69:F151,I69:I74)</f>
        <v>4</v>
      </c>
    </row>
    <row r="70" spans="6:11" ht="13.9">
      <c r="F70" s="116">
        <v>3.2</v>
      </c>
      <c r="K70">
        <f>FREQUENCY(F70:F152,I70:I75)</f>
        <v>4</v>
      </c>
    </row>
    <row r="71" spans="6:11" ht="13.9">
      <c r="F71" s="116">
        <v>-3.7</v>
      </c>
      <c r="K71">
        <f>FREQUENCY(F71:F153,I71:I76)</f>
        <v>4</v>
      </c>
    </row>
    <row r="72" spans="6:11" ht="13.9">
      <c r="F72" s="116">
        <v>4.2</v>
      </c>
      <c r="K72">
        <f>FREQUENCY(F72:F154,I72:I77)</f>
        <v>3</v>
      </c>
    </row>
    <row r="73" spans="6:11" ht="13.9">
      <c r="F73" s="116">
        <v>13.2</v>
      </c>
      <c r="K73">
        <f>FREQUENCY(F73:F155,I73:I78)</f>
        <v>3</v>
      </c>
    </row>
    <row r="74" spans="6:11" ht="13.9">
      <c r="F74" s="116">
        <v>0.9</v>
      </c>
      <c r="K74">
        <f>FREQUENCY(F74:F156,I74:I79)</f>
        <v>3</v>
      </c>
    </row>
    <row r="75" spans="6:11" ht="13.9">
      <c r="F75" s="116">
        <v>4.2</v>
      </c>
      <c r="K75">
        <f>FREQUENCY(F75:F157,I75:I80)</f>
        <v>3</v>
      </c>
    </row>
    <row r="76" spans="6:11" ht="13.9">
      <c r="F76" s="116">
        <v>4</v>
      </c>
      <c r="K76">
        <f>FREQUENCY(F76:F158,I76:I81)</f>
        <v>3</v>
      </c>
    </row>
    <row r="77" spans="6:11" ht="13.9">
      <c r="F77" s="116">
        <v>2.8</v>
      </c>
      <c r="K77">
        <f>FREQUENCY(F77:F159,I77:I82)</f>
        <v>3</v>
      </c>
    </row>
    <row r="78" spans="6:11" ht="13.9">
      <c r="F78" s="116">
        <v>6.7</v>
      </c>
      <c r="K78">
        <f>FREQUENCY(F78:F160,I78:I83)</f>
        <v>3</v>
      </c>
    </row>
    <row r="79" spans="6:11" ht="13.9">
      <c r="F79" s="116">
        <v>-10.4</v>
      </c>
      <c r="K79">
        <f>FREQUENCY(F79:F161,I79:I84)</f>
        <v>3</v>
      </c>
    </row>
    <row r="80" spans="6:11" ht="13.9">
      <c r="F80" s="116">
        <v>2.7</v>
      </c>
      <c r="K80">
        <f>FREQUENCY(F80:F162,I80:I85)</f>
        <v>2</v>
      </c>
    </row>
    <row r="81" spans="6:11" ht="13.9">
      <c r="F81" s="116">
        <v>10.3</v>
      </c>
      <c r="K81">
        <f>FREQUENCY(F81:F163,I81:I86)</f>
        <v>2</v>
      </c>
    </row>
    <row r="82" spans="6:11" ht="13.9">
      <c r="F82" s="116">
        <v>5.7</v>
      </c>
      <c r="K82">
        <f>FREQUENCY(F82:F164,I82:I87)</f>
        <v>2</v>
      </c>
    </row>
    <row r="83" spans="6:11" ht="13.9">
      <c r="F83" s="116">
        <v>0.6</v>
      </c>
      <c r="K83">
        <f>FREQUENCY(F83:F165,I83:I88)</f>
        <v>2</v>
      </c>
    </row>
    <row r="84" spans="6:11" ht="13.9">
      <c r="F84" s="116">
        <v>-14.2</v>
      </c>
      <c r="K84">
        <f>FREQUENCY(F84:F166,I84:I89)</f>
        <v>2</v>
      </c>
    </row>
    <row r="85" spans="6:11" ht="13.9">
      <c r="F85" s="116">
        <v>1.3</v>
      </c>
      <c r="K85">
        <f>FREQUENCY(F85:F167,I85:I90)</f>
        <v>1</v>
      </c>
    </row>
    <row r="86" spans="6:11" ht="13.9">
      <c r="F86" s="116">
        <v>2.9</v>
      </c>
      <c r="K86">
        <f>FREQUENCY(F86:F168,I86:I91)</f>
        <v>1</v>
      </c>
    </row>
    <row r="87" spans="6:11" ht="13.9">
      <c r="F87" s="116">
        <v>11.8</v>
      </c>
      <c r="K87">
        <f>FREQUENCY(F87:F169,I87:I92)</f>
        <v>1</v>
      </c>
    </row>
    <row r="88" spans="6:11" ht="13.9">
      <c r="F88" s="116">
        <v>10.6</v>
      </c>
      <c r="K88">
        <f>FREQUENCY(F88:F170,I88:I93)</f>
        <v>1</v>
      </c>
    </row>
    <row r="89" spans="6:11" ht="13.9">
      <c r="F89" s="116">
        <v>5.2</v>
      </c>
      <c r="K89">
        <f>FREQUENCY(F89:F171,I89:I94)</f>
        <v>1</v>
      </c>
    </row>
    <row r="90" spans="6:11" ht="13.9">
      <c r="F90" s="116">
        <v>13.8</v>
      </c>
      <c r="K90">
        <f>FREQUENCY(F90:F172,I90:I95)</f>
        <v>1</v>
      </c>
    </row>
    <row r="91" spans="6:11" ht="13.9">
      <c r="F91" s="116">
        <v>-14.7</v>
      </c>
      <c r="K91">
        <f>FREQUENCY(F91:F173,I91:I96)</f>
        <v>1</v>
      </c>
    </row>
    <row r="92" spans="6:11" ht="13.9">
      <c r="F92" s="116">
        <v>3.5</v>
      </c>
      <c r="K92">
        <f>FREQUENCY(F92:F174,I92:I97)</f>
        <v>0</v>
      </c>
    </row>
    <row r="93" spans="6:11" ht="13.9">
      <c r="F93" s="116">
        <v>11.7</v>
      </c>
      <c r="K93">
        <f>FREQUENCY(F93:F175,I93:I98)</f>
        <v>0</v>
      </c>
    </row>
    <row r="94" spans="6:11" ht="13.9">
      <c r="F94" s="116">
        <v>1.3</v>
      </c>
      <c r="K94">
        <f>FREQUENCY(F94:F176,I94:I99)</f>
        <v>0</v>
      </c>
    </row>
  </sheetData>
  <printOptions horizontalCentered="1"/>
  <pageMargins left="0.75" right="0.75" top="1.5701388888888901" bottom="1" header="0.51180555555555496" footer="0.51180555555555496"/>
  <pageSetup firstPageNumber="0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MJ21"/>
  <sheetViews>
    <sheetView zoomScale="80" zoomScaleNormal="80" workbookViewId="0">
      <selection activeCell="B6" sqref="B6"/>
    </sheetView>
  </sheetViews>
  <sheetFormatPr defaultColWidth="9" defaultRowHeight="13.9" outlineLevelRow="1" outlineLevelCol="1"/>
  <cols>
    <col min="1" max="1" width="9" style="117"/>
    <col min="2" max="2" width="13.625" style="117" customWidth="1"/>
    <col min="3" max="5" width="9" style="117" outlineLevel="1"/>
    <col min="6" max="6" width="9" style="117"/>
    <col min="7" max="9" width="9" style="117" outlineLevel="1"/>
    <col min="10" max="10" width="9" style="117"/>
    <col min="11" max="12" width="9" style="117" outlineLevel="1"/>
    <col min="13" max="13" width="10.625" style="117" customWidth="1" outlineLevel="1"/>
    <col min="14" max="14" width="9.25" style="117" customWidth="1"/>
    <col min="15" max="15" width="9" style="117" outlineLevel="1"/>
    <col min="16" max="16" width="10.125" style="117" customWidth="1" outlineLevel="1"/>
    <col min="17" max="17" width="10" style="117" customWidth="1" outlineLevel="1"/>
    <col min="18" max="18" width="9" style="117"/>
    <col min="19" max="19" width="11.25" style="117" customWidth="1"/>
    <col min="20" max="1024" width="9" style="117"/>
  </cols>
  <sheetData>
    <row r="2" spans="2:19">
      <c r="B2" s="16"/>
    </row>
    <row r="3" spans="2:19">
      <c r="B3" s="16" t="s">
        <v>218</v>
      </c>
    </row>
    <row r="6" spans="2:19">
      <c r="B6" s="118" t="s">
        <v>219</v>
      </c>
      <c r="C6" s="119" t="s">
        <v>220</v>
      </c>
      <c r="D6" s="119" t="s">
        <v>221</v>
      </c>
      <c r="E6" s="119" t="s">
        <v>222</v>
      </c>
      <c r="F6" s="120" t="s">
        <v>223</v>
      </c>
      <c r="G6" s="119" t="s">
        <v>224</v>
      </c>
      <c r="H6" s="119" t="s">
        <v>225</v>
      </c>
      <c r="I6" s="119" t="s">
        <v>226</v>
      </c>
      <c r="J6" s="120" t="s">
        <v>227</v>
      </c>
      <c r="K6" s="119" t="s">
        <v>228</v>
      </c>
      <c r="L6" s="119" t="s">
        <v>229</v>
      </c>
      <c r="M6" s="119" t="s">
        <v>230</v>
      </c>
      <c r="N6" s="120" t="s">
        <v>231</v>
      </c>
      <c r="O6" s="119" t="s">
        <v>232</v>
      </c>
      <c r="P6" s="119" t="s">
        <v>233</v>
      </c>
      <c r="Q6" s="119" t="s">
        <v>234</v>
      </c>
      <c r="R6" s="120" t="s">
        <v>235</v>
      </c>
      <c r="S6" s="118" t="s">
        <v>115</v>
      </c>
    </row>
    <row r="7" spans="2:19" outlineLevel="1">
      <c r="B7" s="117" t="s">
        <v>236</v>
      </c>
      <c r="C7" s="121">
        <v>1130</v>
      </c>
      <c r="D7" s="121">
        <v>1243</v>
      </c>
      <c r="E7" s="121">
        <v>1367.3</v>
      </c>
      <c r="F7" s="122">
        <f>SUM(C7:E7)</f>
        <v>3740.3</v>
      </c>
      <c r="G7" s="121">
        <v>1654.433</v>
      </c>
      <c r="H7" s="121">
        <v>1819.8762999999999</v>
      </c>
      <c r="I7" s="121">
        <v>2001.86393</v>
      </c>
      <c r="J7" s="122">
        <f>SUM(G7:I7)</f>
        <v>5476.1732300000003</v>
      </c>
      <c r="K7" s="121">
        <v>2422.2553552999998</v>
      </c>
      <c r="L7" s="121">
        <v>2664.4808908300001</v>
      </c>
      <c r="M7" s="121">
        <v>2930.9289799130001</v>
      </c>
      <c r="N7" s="122">
        <f>SUM(K7:M7)</f>
        <v>8017.6652260430001</v>
      </c>
      <c r="O7" s="121">
        <v>3546.42406569473</v>
      </c>
      <c r="P7" s="121">
        <v>3901.06647226421</v>
      </c>
      <c r="Q7" s="121">
        <v>4291.1731194906297</v>
      </c>
      <c r="R7" s="122">
        <f>SUM(O7:Q7)</f>
        <v>11738.66365744957</v>
      </c>
      <c r="S7" s="122">
        <f>SUM(R7,N7,J7,F7)</f>
        <v>28972.802113492569</v>
      </c>
    </row>
    <row r="8" spans="2:19" outlineLevel="1">
      <c r="B8" s="117" t="s">
        <v>237</v>
      </c>
      <c r="C8" s="121">
        <v>890</v>
      </c>
      <c r="D8" s="121">
        <v>987.9</v>
      </c>
      <c r="E8" s="121">
        <v>1096.569</v>
      </c>
      <c r="F8" s="122">
        <f>SUM(C8:E8)</f>
        <v>2974.4690000000001</v>
      </c>
      <c r="G8" s="121">
        <v>1351.0826649000001</v>
      </c>
      <c r="H8" s="121">
        <v>1499.701758039</v>
      </c>
      <c r="I8" s="121">
        <v>1664.6689514232901</v>
      </c>
      <c r="J8" s="122">
        <f>SUM(G8:I8)</f>
        <v>4515.4533743622906</v>
      </c>
      <c r="K8" s="121">
        <v>2051.0386150486402</v>
      </c>
      <c r="L8" s="121">
        <v>2276.6528627039902</v>
      </c>
      <c r="M8" s="121">
        <v>2527.08467760143</v>
      </c>
      <c r="N8" s="122">
        <f>SUM(K8:M8)</f>
        <v>6854.7761553540604</v>
      </c>
      <c r="O8" s="121">
        <v>3113.6210312727198</v>
      </c>
      <c r="P8" s="121">
        <v>3456.1193447127198</v>
      </c>
      <c r="Q8" s="121">
        <v>3836.2924726311198</v>
      </c>
      <c r="R8" s="122">
        <f>SUM(O8:Q8)</f>
        <v>10406.03284861656</v>
      </c>
      <c r="S8" s="122">
        <f>SUM(R8,N8,J8,F8)</f>
        <v>24750.731378332912</v>
      </c>
    </row>
    <row r="9" spans="2:19" outlineLevel="1">
      <c r="B9" s="123" t="s">
        <v>238</v>
      </c>
      <c r="C9" s="124">
        <v>4210</v>
      </c>
      <c r="D9" s="124">
        <v>4588.8999999999996</v>
      </c>
      <c r="E9" s="124">
        <v>5001.9009999999998</v>
      </c>
      <c r="F9" s="125">
        <f>SUM(C9:E9)</f>
        <v>13800.800999999999</v>
      </c>
      <c r="G9" s="124">
        <v>5942.7585780999998</v>
      </c>
      <c r="H9" s="124">
        <v>6477.6068501290001</v>
      </c>
      <c r="I9" s="124">
        <v>7060.5914666406097</v>
      </c>
      <c r="J9" s="125">
        <f>SUM(G9:I9)</f>
        <v>19480.956894869611</v>
      </c>
      <c r="K9" s="124">
        <v>8388.6887215157094</v>
      </c>
      <c r="L9" s="124">
        <v>9143.6707064521306</v>
      </c>
      <c r="M9" s="124">
        <v>9966.6010700328206</v>
      </c>
      <c r="N9" s="125">
        <f>SUM(K9:M9)</f>
        <v>27498.960498000662</v>
      </c>
      <c r="O9" s="124">
        <v>11841.318731306001</v>
      </c>
      <c r="P9" s="124">
        <v>12907.0374171235</v>
      </c>
      <c r="Q9" s="124">
        <v>14068.6707846647</v>
      </c>
      <c r="R9" s="125">
        <f>SUM(O9:Q9)</f>
        <v>38817.026933094196</v>
      </c>
      <c r="S9" s="125">
        <f>SUM(R9,N9,J9,F9)</f>
        <v>99597.745325964468</v>
      </c>
    </row>
    <row r="10" spans="2:19" outlineLevel="1">
      <c r="B10" s="126" t="s">
        <v>239</v>
      </c>
      <c r="C10" s="121">
        <f>SUM(C7:C9)</f>
        <v>6230</v>
      </c>
      <c r="D10" s="121">
        <f>SUM(D7:D9)</f>
        <v>6819.7999999999993</v>
      </c>
      <c r="E10" s="121">
        <f>SUM(E7:E9)</f>
        <v>7465.7699999999995</v>
      </c>
      <c r="F10" s="122">
        <f>SUM(F7:F9)</f>
        <v>20515.57</v>
      </c>
      <c r="G10" s="121">
        <f>SUM(G7:G9)</f>
        <v>8948.2742429999998</v>
      </c>
      <c r="H10" s="121">
        <f>SUM(H7:H9)</f>
        <v>9797.1849081680011</v>
      </c>
      <c r="I10" s="121">
        <f>SUM(I7:I9)</f>
        <v>10727.124348063899</v>
      </c>
      <c r="J10" s="122">
        <f>SUM(J7:J9)</f>
        <v>29472.5834992319</v>
      </c>
      <c r="K10" s="121">
        <f>SUM(K7:K9)</f>
        <v>12861.982691864348</v>
      </c>
      <c r="L10" s="121">
        <f>SUM(L7:L9)</f>
        <v>14084.80445998612</v>
      </c>
      <c r="M10" s="121">
        <f>SUM(M7:M9)</f>
        <v>15424.61472754725</v>
      </c>
      <c r="N10" s="122">
        <f>SUM(N7:N9)</f>
        <v>42371.401879397723</v>
      </c>
      <c r="O10" s="121">
        <f>SUM(O7:O9)</f>
        <v>18501.36382827345</v>
      </c>
      <c r="P10" s="121">
        <f>SUM(P7:P9)</f>
        <v>20264.223234100427</v>
      </c>
      <c r="Q10" s="121">
        <f>SUM(Q7:Q9)</f>
        <v>22196.13637678645</v>
      </c>
      <c r="R10" s="122">
        <f>SUM(O10:Q10)</f>
        <v>60961.723439160327</v>
      </c>
      <c r="S10" s="122">
        <f>SUM(R10,N10,J10,F10)</f>
        <v>153321.27881778995</v>
      </c>
    </row>
    <row r="11" spans="2:19" outlineLevel="1">
      <c r="C11" s="121"/>
      <c r="D11" s="121"/>
      <c r="E11" s="121"/>
      <c r="F11" s="122"/>
      <c r="G11" s="121"/>
      <c r="H11" s="121"/>
      <c r="I11" s="121"/>
      <c r="J11" s="122"/>
      <c r="K11" s="121"/>
      <c r="L11" s="121"/>
      <c r="M11" s="121"/>
      <c r="N11" s="122"/>
      <c r="O11" s="121"/>
      <c r="P11" s="121"/>
      <c r="Q11" s="121"/>
      <c r="R11" s="122"/>
      <c r="S11" s="118"/>
    </row>
    <row r="12" spans="2:19" outlineLevel="1">
      <c r="B12" s="117" t="s">
        <v>240</v>
      </c>
      <c r="C12" s="121">
        <v>1126</v>
      </c>
      <c r="D12" s="121">
        <v>1153.0239999999999</v>
      </c>
      <c r="E12" s="121">
        <v>1180.6965760000001</v>
      </c>
      <c r="F12" s="122">
        <f>SUM(F9:F11)</f>
        <v>34316.370999999999</v>
      </c>
      <c r="G12" s="121">
        <v>1238.0500928757799</v>
      </c>
      <c r="H12" s="121">
        <v>1267.7632951047899</v>
      </c>
      <c r="I12" s="121">
        <v>1298.1896141873101</v>
      </c>
      <c r="J12" s="122">
        <f>SUM(J9:J11)</f>
        <v>48953.54039410151</v>
      </c>
      <c r="K12" s="121">
        <v>1361.2504728860699</v>
      </c>
      <c r="L12" s="121">
        <v>1393.9204842353399</v>
      </c>
      <c r="M12" s="121">
        <v>1427.3745758569901</v>
      </c>
      <c r="N12" s="122">
        <f>SUM(N9:N11)</f>
        <v>69870.362377398385</v>
      </c>
      <c r="O12" s="121">
        <v>1496.7107232538201</v>
      </c>
      <c r="P12" s="121">
        <v>1532.63178061191</v>
      </c>
      <c r="Q12" s="121">
        <v>1569.41494334659</v>
      </c>
      <c r="R12" s="122">
        <f>SUM(O12:Q12)</f>
        <v>4598.7574472123197</v>
      </c>
      <c r="S12" s="122">
        <f>SUM(R12,N12,J12,F12)</f>
        <v>157739.03121871222</v>
      </c>
    </row>
    <row r="13" spans="2:19">
      <c r="B13" s="117" t="s">
        <v>241</v>
      </c>
      <c r="C13" s="121">
        <v>2104</v>
      </c>
      <c r="D13" s="121">
        <v>2154.4960000000001</v>
      </c>
      <c r="E13" s="121">
        <v>2206.203904</v>
      </c>
      <c r="F13" s="122">
        <f>SUM(F10:F12)</f>
        <v>54831.940999999999</v>
      </c>
      <c r="G13" s="121">
        <v>2313.3724648407001</v>
      </c>
      <c r="H13" s="121">
        <v>2368.8934039968799</v>
      </c>
      <c r="I13" s="121">
        <v>2425.74684569281</v>
      </c>
      <c r="J13" s="122">
        <f>SUM(J10:J12)</f>
        <v>78426.12389333341</v>
      </c>
      <c r="K13" s="121">
        <v>2543.5799244691798</v>
      </c>
      <c r="L13" s="121">
        <v>2604.62584265644</v>
      </c>
      <c r="M13" s="121">
        <v>2667.1368628801902</v>
      </c>
      <c r="N13" s="122">
        <f>SUM(N10:N12)</f>
        <v>112241.7642567961</v>
      </c>
      <c r="O13" s="121">
        <v>2796.69570313146</v>
      </c>
      <c r="P13" s="121">
        <v>2863.8164000066199</v>
      </c>
      <c r="Q13" s="121">
        <v>2932.54799360678</v>
      </c>
      <c r="R13" s="122">
        <f>SUM(O13:Q13)</f>
        <v>8593.0600967448609</v>
      </c>
      <c r="S13" s="122">
        <f>SUM(R13,N13,J13,F13)</f>
        <v>254092.88924687437</v>
      </c>
    </row>
    <row r="14" spans="2:19">
      <c r="B14" s="123" t="s">
        <v>242</v>
      </c>
      <c r="C14" s="124">
        <v>980</v>
      </c>
      <c r="D14" s="124">
        <v>1003.52</v>
      </c>
      <c r="E14" s="124">
        <v>1027.60448</v>
      </c>
      <c r="F14" s="125">
        <f>SUM(F11:F13)</f>
        <v>89148.312000000005</v>
      </c>
      <c r="G14" s="124">
        <v>1077.5213952204799</v>
      </c>
      <c r="H14" s="124">
        <v>1103.38190870577</v>
      </c>
      <c r="I14" s="124">
        <v>1129.86307451471</v>
      </c>
      <c r="J14" s="125">
        <f>SUM(J11:J13)</f>
        <v>127379.66428743492</v>
      </c>
      <c r="K14" s="124">
        <v>1184.74730322234</v>
      </c>
      <c r="L14" s="124">
        <v>1213.1812384996699</v>
      </c>
      <c r="M14" s="124">
        <v>1242.2975882236599</v>
      </c>
      <c r="N14" s="125">
        <f>SUM(N11:N13)</f>
        <v>182112.12663419449</v>
      </c>
      <c r="O14" s="124">
        <v>1302.64343586922</v>
      </c>
      <c r="P14" s="124">
        <v>1333.90687833008</v>
      </c>
      <c r="Q14" s="124">
        <v>1365.9206434099999</v>
      </c>
      <c r="R14" s="125">
        <f>SUM(O14:Q14)</f>
        <v>4002.4709576093001</v>
      </c>
      <c r="S14" s="125">
        <f>SUM(R14,N14,J14,F14)</f>
        <v>402642.57387923868</v>
      </c>
    </row>
    <row r="15" spans="2:19" outlineLevel="1">
      <c r="B15" s="126" t="s">
        <v>243</v>
      </c>
      <c r="C15" s="121">
        <f>SUM(C12:C14)</f>
        <v>4210</v>
      </c>
      <c r="D15" s="121">
        <f>SUM(D12:D14)</f>
        <v>4311.04</v>
      </c>
      <c r="E15" s="121">
        <f>SUM(E12:E14)</f>
        <v>4414.5049600000002</v>
      </c>
      <c r="F15" s="122">
        <f>SUM(F12:F14)</f>
        <v>178296.62400000001</v>
      </c>
      <c r="G15" s="121">
        <f>SUM(G12:G14)</f>
        <v>4628.9439529369592</v>
      </c>
      <c r="H15" s="121">
        <f>SUM(H12:H14)</f>
        <v>4740.0386078074398</v>
      </c>
      <c r="I15" s="121">
        <f>SUM(I12:I14)</f>
        <v>4853.7995343948305</v>
      </c>
      <c r="J15" s="122">
        <f>SUM(J12:J14)</f>
        <v>254759.32857486984</v>
      </c>
      <c r="K15" s="121">
        <f>SUM(K12:K14)</f>
        <v>5089.5777005775899</v>
      </c>
      <c r="L15" s="121">
        <f>SUM(L12:L14)</f>
        <v>5211.7275653914503</v>
      </c>
      <c r="M15" s="121">
        <f>SUM(M12:M14)</f>
        <v>5336.8090269608401</v>
      </c>
      <c r="N15" s="122">
        <f>SUM(N12:N14)</f>
        <v>364224.25326838897</v>
      </c>
      <c r="O15" s="121">
        <f>SUM(O12:O14)</f>
        <v>5596.0498622545001</v>
      </c>
      <c r="P15" s="121">
        <f>SUM(P12:P14)</f>
        <v>5730.3550589486103</v>
      </c>
      <c r="Q15" s="121">
        <f>SUM(Q12:Q14)</f>
        <v>5867.8835803633701</v>
      </c>
      <c r="R15" s="122">
        <f>SUM(R12:R14)</f>
        <v>17194.28850156648</v>
      </c>
      <c r="S15" s="122">
        <f>SUM(R15,N15,J15,F15)</f>
        <v>814474.49434482539</v>
      </c>
    </row>
    <row r="16" spans="2:19" outlineLevel="1">
      <c r="C16" s="121"/>
      <c r="D16" s="121"/>
      <c r="E16" s="121"/>
      <c r="F16" s="122"/>
      <c r="G16" s="121"/>
      <c r="H16" s="121"/>
      <c r="I16" s="121"/>
      <c r="J16" s="122"/>
      <c r="K16" s="121"/>
      <c r="L16" s="121"/>
      <c r="M16" s="121"/>
      <c r="N16" s="122"/>
      <c r="O16" s="121"/>
      <c r="P16" s="121"/>
      <c r="Q16" s="121"/>
      <c r="R16" s="122"/>
      <c r="S16" s="118"/>
    </row>
    <row r="17" spans="2:19" outlineLevel="1">
      <c r="B17" s="117" t="s">
        <v>244</v>
      </c>
      <c r="C17" s="121">
        <v>1500</v>
      </c>
      <c r="D17" s="121">
        <v>1536</v>
      </c>
      <c r="E17" s="121">
        <v>1572.864</v>
      </c>
      <c r="F17" s="122">
        <f>SUM(F14:F16)</f>
        <v>267444.93599999999</v>
      </c>
      <c r="G17" s="121">
        <v>1649.267441664</v>
      </c>
      <c r="H17" s="121">
        <v>1688.8498602639399</v>
      </c>
      <c r="I17" s="121">
        <v>1729.3822569102699</v>
      </c>
      <c r="J17" s="122">
        <f>SUM(J14:J16)</f>
        <v>382138.99286230479</v>
      </c>
      <c r="K17" s="121">
        <v>1813.3887294219401</v>
      </c>
      <c r="L17" s="121">
        <v>1856.9100589280699</v>
      </c>
      <c r="M17" s="121">
        <v>1901.4759003423401</v>
      </c>
      <c r="N17" s="122">
        <f>SUM(N14:N16)</f>
        <v>546336.37990258343</v>
      </c>
      <c r="O17" s="121">
        <v>1993.8419936773701</v>
      </c>
      <c r="P17" s="121">
        <v>2041.69420152563</v>
      </c>
      <c r="Q17" s="121">
        <v>2090.6948623622502</v>
      </c>
      <c r="R17" s="122">
        <f>SUM(O17:Q17)</f>
        <v>6126.23105756525</v>
      </c>
      <c r="S17" s="122">
        <f>SUM(R17,N17,J17,F17)</f>
        <v>1202046.5398224534</v>
      </c>
    </row>
    <row r="18" spans="2:19">
      <c r="B18" s="117" t="s">
        <v>245</v>
      </c>
      <c r="C18" s="121">
        <v>2000</v>
      </c>
      <c r="D18" s="121">
        <v>2048</v>
      </c>
      <c r="E18" s="121">
        <v>2097.152</v>
      </c>
      <c r="F18" s="122">
        <f>SUM(F15:F17)</f>
        <v>445741.56</v>
      </c>
      <c r="G18" s="121">
        <v>2199.0232555520001</v>
      </c>
      <c r="H18" s="121">
        <v>2251.7998136852498</v>
      </c>
      <c r="I18" s="121">
        <v>2305.84300921369</v>
      </c>
      <c r="J18" s="122">
        <f>SUM(J15:J17)</f>
        <v>636898.32143717469</v>
      </c>
      <c r="K18" s="121">
        <v>2417.8516392292599</v>
      </c>
      <c r="L18" s="121">
        <v>2475.8800785707599</v>
      </c>
      <c r="M18" s="121">
        <v>2535.3012004564598</v>
      </c>
      <c r="N18" s="122">
        <f>SUM(N15:N17)</f>
        <v>910560.63317097235</v>
      </c>
      <c r="O18" s="121">
        <v>2658.4559915698301</v>
      </c>
      <c r="P18" s="121">
        <v>2722.2589353675098</v>
      </c>
      <c r="Q18" s="121">
        <v>2787.59314981633</v>
      </c>
      <c r="R18" s="122">
        <f>SUM(O18:Q18)</f>
        <v>8168.3080767536703</v>
      </c>
      <c r="S18" s="122">
        <f>SUM(R18,N18,J18,F18)</f>
        <v>2001368.8226849008</v>
      </c>
    </row>
    <row r="19" spans="2:19">
      <c r="B19" s="123" t="s">
        <v>246</v>
      </c>
      <c r="C19" s="124">
        <v>3100</v>
      </c>
      <c r="D19" s="124">
        <v>3174.4</v>
      </c>
      <c r="E19" s="124">
        <v>3250.5855999999999</v>
      </c>
      <c r="F19" s="125">
        <f>SUM(F16:F18)</f>
        <v>713186.49600000004</v>
      </c>
      <c r="G19" s="124">
        <v>3408.4860461056001</v>
      </c>
      <c r="H19" s="124">
        <v>3490.28971121214</v>
      </c>
      <c r="I19" s="124">
        <v>3574.05666428123</v>
      </c>
      <c r="J19" s="125">
        <f>SUM(J16:J18)</f>
        <v>1019037.3142994795</v>
      </c>
      <c r="K19" s="124">
        <v>3747.6700408053498</v>
      </c>
      <c r="L19" s="124">
        <v>3837.6141217846798</v>
      </c>
      <c r="M19" s="124">
        <v>3929.71686070751</v>
      </c>
      <c r="N19" s="125">
        <f>SUM(N16:N18)</f>
        <v>1456897.0130735557</v>
      </c>
      <c r="O19" s="124">
        <v>4120.6067869332401</v>
      </c>
      <c r="P19" s="124">
        <v>4219.5013498196404</v>
      </c>
      <c r="Q19" s="124">
        <v>4320.7693822153096</v>
      </c>
      <c r="R19" s="125">
        <f>SUM(O19:Q19)</f>
        <v>12660.877518968191</v>
      </c>
      <c r="S19" s="122">
        <f>SUM(R19,N19,J19,F19)</f>
        <v>3201781.7008920033</v>
      </c>
    </row>
    <row r="20" spans="2:19">
      <c r="B20" s="127" t="s">
        <v>247</v>
      </c>
      <c r="C20" s="128">
        <f>SUM(C17:C19)</f>
        <v>6600</v>
      </c>
      <c r="D20" s="128">
        <f>SUM(D17:D19)</f>
        <v>6758.4</v>
      </c>
      <c r="E20" s="128">
        <f>SUM(E17:E19)</f>
        <v>6920.6016</v>
      </c>
      <c r="F20" s="129">
        <f>SUM(F17:F19)</f>
        <v>1426372.9920000001</v>
      </c>
      <c r="G20" s="128">
        <f>SUM(G17:G19)</f>
        <v>7256.7767433215995</v>
      </c>
      <c r="H20" s="128">
        <f>SUM(H17:H19)</f>
        <v>7430.9393851613295</v>
      </c>
      <c r="I20" s="128">
        <f>SUM(I17:I19)</f>
        <v>7609.28193040519</v>
      </c>
      <c r="J20" s="129">
        <f>SUM(J17:J19)</f>
        <v>2038074.628598959</v>
      </c>
      <c r="K20" s="128">
        <f>SUM(K17:K19)</f>
        <v>7978.91040945655</v>
      </c>
      <c r="L20" s="128">
        <f>SUM(L17:L19)</f>
        <v>8170.4042592835094</v>
      </c>
      <c r="M20" s="128">
        <f>SUM(M17:M19)</f>
        <v>8366.4939615063086</v>
      </c>
      <c r="N20" s="129">
        <f>SUM(N17:N19)</f>
        <v>2913794.0261471113</v>
      </c>
      <c r="O20" s="128">
        <f>SUM(O17:O19)</f>
        <v>8772.90477218044</v>
      </c>
      <c r="P20" s="128">
        <f>SUM(P17:P19)</f>
        <v>8983.4544867127806</v>
      </c>
      <c r="Q20" s="128">
        <f>SUM(Q17:Q19)</f>
        <v>9199.0573943938907</v>
      </c>
      <c r="R20" s="129">
        <f>SUM(R17:R19)</f>
        <v>26955.41665328711</v>
      </c>
      <c r="S20" s="129">
        <f>SUM(R20,N20,J20,F20)</f>
        <v>6405197.0633993577</v>
      </c>
    </row>
    <row r="21" spans="2:19">
      <c r="B21" s="126" t="s">
        <v>115</v>
      </c>
      <c r="C21" s="121">
        <f>SUM(C10,C15,C20)</f>
        <v>17040</v>
      </c>
      <c r="D21" s="121">
        <f>SUM(D10,D15,D20)</f>
        <v>17889.239999999998</v>
      </c>
      <c r="E21" s="121">
        <f>SUM(E10,E15,E20)</f>
        <v>18800.876559999997</v>
      </c>
      <c r="F21" s="122">
        <f>SUM(F10,F15,F20)</f>
        <v>1625185.1860000002</v>
      </c>
      <c r="G21" s="121">
        <f>SUM(G10,G15,G20)</f>
        <v>20833.994939258559</v>
      </c>
      <c r="H21" s="121">
        <f>SUM(H10,H15,H20)</f>
        <v>21968.16290113677</v>
      </c>
      <c r="I21" s="121">
        <f>SUM(I10,I15,I20)</f>
        <v>23190.205812863918</v>
      </c>
      <c r="J21" s="122">
        <f>SUM(J10,J15,J20)</f>
        <v>2322306.5406730608</v>
      </c>
      <c r="K21" s="121">
        <f>SUM(K10,K15,K20)</f>
        <v>25930.470801898489</v>
      </c>
      <c r="L21" s="121">
        <f>SUM(L10,L15,L20)</f>
        <v>27466.936284661082</v>
      </c>
      <c r="M21" s="121">
        <f>SUM(M10,M15,M20)</f>
        <v>29127.917716014399</v>
      </c>
      <c r="N21" s="122">
        <f>SUM(N10,N15,N20)</f>
        <v>3320389.681294898</v>
      </c>
      <c r="O21" s="121">
        <f>SUM(O10,O15,O20)</f>
        <v>32870.31846270839</v>
      </c>
      <c r="P21" s="121">
        <f>SUM(P10,P15,P20)</f>
        <v>34978.032779761823</v>
      </c>
      <c r="Q21" s="121">
        <f>SUM(Q10,Q15,Q20)</f>
        <v>37263.07735154371</v>
      </c>
      <c r="R21" s="122">
        <f>SUM(R10,R15,R20)</f>
        <v>105111.42859401391</v>
      </c>
      <c r="S21" s="122">
        <f>SUM(R21,N21,J21,F21)</f>
        <v>7372992.8365619741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J18"/>
  <sheetViews>
    <sheetView zoomScale="80" zoomScaleNormal="80" workbookViewId="0">
      <selection activeCell="B2" sqref="B2"/>
    </sheetView>
  </sheetViews>
  <sheetFormatPr defaultColWidth="8.625" defaultRowHeight="13.9"/>
  <cols>
    <col min="2" max="2" width="10.5" customWidth="1"/>
  </cols>
  <sheetData>
    <row r="2" spans="2:10">
      <c r="B2" s="16"/>
    </row>
    <row r="3" spans="2:10">
      <c r="B3" s="16" t="s">
        <v>248</v>
      </c>
    </row>
    <row r="5" spans="2:10" ht="14.45">
      <c r="H5" s="118" t="s">
        <v>249</v>
      </c>
      <c r="I5" s="117"/>
      <c r="J5" s="117"/>
    </row>
    <row r="6" spans="2:10" ht="14.45">
      <c r="B6" s="130"/>
      <c r="C6" s="131" t="s">
        <v>223</v>
      </c>
      <c r="D6" s="131" t="s">
        <v>227</v>
      </c>
      <c r="E6" s="131" t="s">
        <v>231</v>
      </c>
      <c r="F6" s="131" t="s">
        <v>235</v>
      </c>
      <c r="H6" s="132"/>
      <c r="I6" s="117"/>
      <c r="J6" s="118" t="s">
        <v>250</v>
      </c>
    </row>
    <row r="7" spans="2:10">
      <c r="B7" s="131" t="s">
        <v>222</v>
      </c>
      <c r="C7" s="130">
        <v>55</v>
      </c>
      <c r="D7" s="130">
        <v>68</v>
      </c>
      <c r="E7" s="130">
        <v>100</v>
      </c>
      <c r="F7" s="130">
        <v>68</v>
      </c>
      <c r="H7" s="117"/>
      <c r="I7" s="117"/>
      <c r="J7" s="133">
        <v>10</v>
      </c>
    </row>
    <row r="8" spans="2:10">
      <c r="B8" s="131" t="s">
        <v>224</v>
      </c>
      <c r="C8" s="130">
        <v>68</v>
      </c>
      <c r="D8" s="130">
        <v>72</v>
      </c>
      <c r="E8" s="130">
        <v>88</v>
      </c>
      <c r="F8" s="130">
        <v>33</v>
      </c>
      <c r="H8" s="117"/>
      <c r="I8" s="117"/>
      <c r="J8" s="133">
        <v>20</v>
      </c>
    </row>
    <row r="9" spans="2:10">
      <c r="B9" s="131" t="s">
        <v>225</v>
      </c>
      <c r="C9" s="130">
        <v>108</v>
      </c>
      <c r="D9" s="130">
        <v>91</v>
      </c>
      <c r="E9" s="130">
        <v>43</v>
      </c>
      <c r="F9" s="130">
        <v>96</v>
      </c>
      <c r="H9" s="117"/>
      <c r="I9" s="117"/>
      <c r="J9" s="133">
        <v>30</v>
      </c>
    </row>
    <row r="10" spans="2:10">
      <c r="B10" s="131" t="s">
        <v>226</v>
      </c>
      <c r="C10" s="130">
        <v>96</v>
      </c>
      <c r="D10" s="130">
        <v>88</v>
      </c>
      <c r="E10" s="130">
        <v>25</v>
      </c>
      <c r="F10" s="130">
        <v>401</v>
      </c>
      <c r="H10" s="117"/>
      <c r="I10" s="117"/>
      <c r="J10" s="133">
        <v>40</v>
      </c>
    </row>
    <row r="11" spans="2:10">
      <c r="B11" s="131" t="s">
        <v>228</v>
      </c>
      <c r="C11" s="130">
        <v>40</v>
      </c>
      <c r="D11" s="130">
        <v>580</v>
      </c>
      <c r="E11" s="130">
        <v>38</v>
      </c>
      <c r="F11" s="130">
        <v>68</v>
      </c>
      <c r="H11" s="117"/>
      <c r="I11" s="117"/>
      <c r="J11" s="133">
        <v>50</v>
      </c>
    </row>
    <row r="12" spans="2:10">
      <c r="B12" s="131" t="s">
        <v>229</v>
      </c>
      <c r="C12" s="130">
        <v>68</v>
      </c>
      <c r="D12" s="130">
        <v>33</v>
      </c>
      <c r="E12" s="130">
        <v>44</v>
      </c>
      <c r="F12" s="130">
        <v>12</v>
      </c>
      <c r="H12" s="117"/>
      <c r="I12" s="117"/>
      <c r="J12" s="133">
        <v>60</v>
      </c>
    </row>
    <row r="13" spans="2:10">
      <c r="B13" s="131" t="s">
        <v>230</v>
      </c>
      <c r="C13" s="130">
        <v>72</v>
      </c>
      <c r="D13" s="130">
        <v>96</v>
      </c>
      <c r="E13" s="130">
        <v>86</v>
      </c>
      <c r="F13" s="130">
        <v>800</v>
      </c>
      <c r="H13" s="117"/>
      <c r="I13" s="117"/>
      <c r="J13" s="133">
        <v>70</v>
      </c>
    </row>
    <row r="14" spans="2:10">
      <c r="B14" s="131" t="s">
        <v>232</v>
      </c>
      <c r="C14" s="130">
        <v>91</v>
      </c>
      <c r="D14" s="130">
        <v>400</v>
      </c>
      <c r="E14" s="130">
        <v>35</v>
      </c>
      <c r="F14" s="130">
        <v>68</v>
      </c>
      <c r="H14" s="117"/>
      <c r="I14" s="117"/>
      <c r="J14" s="133">
        <v>80</v>
      </c>
    </row>
    <row r="15" spans="2:10">
      <c r="B15" s="131" t="s">
        <v>233</v>
      </c>
      <c r="C15" s="130">
        <v>88</v>
      </c>
      <c r="D15" s="130">
        <v>68</v>
      </c>
      <c r="E15" s="130">
        <v>68</v>
      </c>
      <c r="F15" s="130">
        <v>33</v>
      </c>
      <c r="H15" s="117"/>
      <c r="I15" s="117"/>
      <c r="J15" s="133">
        <v>90</v>
      </c>
    </row>
    <row r="16" spans="2:10">
      <c r="B16" s="131" t="s">
        <v>234</v>
      </c>
      <c r="C16" s="130">
        <v>43</v>
      </c>
      <c r="D16" s="130">
        <v>91</v>
      </c>
      <c r="E16" s="130">
        <v>701</v>
      </c>
      <c r="F16" s="130">
        <v>96</v>
      </c>
      <c r="H16" s="117"/>
      <c r="I16" s="117"/>
      <c r="J16" s="133">
        <v>100</v>
      </c>
    </row>
    <row r="17" spans="2:6">
      <c r="B17" s="131" t="s">
        <v>220</v>
      </c>
      <c r="C17" s="130">
        <v>10</v>
      </c>
      <c r="D17" s="130">
        <v>88</v>
      </c>
      <c r="E17" s="130">
        <v>91</v>
      </c>
      <c r="F17" s="130">
        <v>90</v>
      </c>
    </row>
    <row r="18" spans="2:6">
      <c r="B18" s="131" t="s">
        <v>221</v>
      </c>
      <c r="C18" s="130">
        <v>0</v>
      </c>
      <c r="D18" s="130">
        <v>43</v>
      </c>
      <c r="E18" s="130">
        <v>88</v>
      </c>
      <c r="F18" s="130">
        <v>34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2:AMJ224"/>
  <sheetViews>
    <sheetView showGridLines="0" tabSelected="1" topLeftCell="D29" zoomScale="80" zoomScaleNormal="80" workbookViewId="0">
      <selection activeCell="K32" sqref="K32:N35"/>
    </sheetView>
  </sheetViews>
  <sheetFormatPr defaultColWidth="8" defaultRowHeight="13.15"/>
  <cols>
    <col min="1" max="1" width="6.75" style="134" customWidth="1"/>
    <col min="2" max="2" width="8" style="134"/>
    <col min="3" max="3" width="7" style="134" customWidth="1"/>
    <col min="4" max="4" width="5.125" style="134" customWidth="1"/>
    <col min="5" max="5" width="9.125" style="134" customWidth="1"/>
    <col min="6" max="6" width="9.5" style="134" customWidth="1"/>
    <col min="7" max="7" width="9.625" style="134" customWidth="1"/>
    <col min="8" max="8" width="10.25" style="134" customWidth="1"/>
    <col min="9" max="9" width="14.125" style="134" customWidth="1"/>
    <col min="10" max="10" width="10.375" style="134" customWidth="1"/>
    <col min="11" max="11" width="14.125" style="134" customWidth="1"/>
    <col min="12" max="12" width="16.125" style="134" customWidth="1"/>
    <col min="13" max="13" width="14.125" style="134" customWidth="1"/>
    <col min="14" max="14" width="16.125" style="134" bestFit="1" customWidth="1"/>
    <col min="15" max="15" width="19.25" style="134" bestFit="1" customWidth="1"/>
    <col min="16" max="16" width="21.375" style="134" bestFit="1" customWidth="1"/>
    <col min="17" max="17" width="11.375" style="134" bestFit="1" customWidth="1"/>
    <col min="18" max="18" width="14.125" style="134" bestFit="1" customWidth="1"/>
    <col min="19" max="19" width="11.375" style="134" bestFit="1" customWidth="1"/>
    <col min="20" max="20" width="14.125" style="134" bestFit="1" customWidth="1"/>
    <col min="21" max="21" width="11.375" style="134" bestFit="1" customWidth="1"/>
    <col min="22" max="22" width="14.125" style="134" bestFit="1" customWidth="1"/>
    <col min="23" max="23" width="10.625" style="134" bestFit="1" customWidth="1"/>
    <col min="24" max="24" width="14.125" style="134" bestFit="1" customWidth="1"/>
    <col min="25" max="25" width="10.625" style="134" bestFit="1" customWidth="1"/>
    <col min="26" max="26" width="14.125" style="134" bestFit="1" customWidth="1"/>
    <col min="27" max="27" width="10.625" style="134" bestFit="1" customWidth="1"/>
    <col min="28" max="28" width="14.125" style="134" bestFit="1" customWidth="1"/>
    <col min="29" max="29" width="11.375" style="134" bestFit="1" customWidth="1"/>
    <col min="30" max="30" width="14.125" style="134" bestFit="1" customWidth="1"/>
    <col min="31" max="31" width="10.625" style="134" bestFit="1" customWidth="1"/>
    <col min="32" max="32" width="14.125" style="134" bestFit="1" customWidth="1"/>
    <col min="33" max="33" width="11.375" style="134" bestFit="1" customWidth="1"/>
    <col min="34" max="34" width="14.125" style="134" bestFit="1" customWidth="1"/>
    <col min="35" max="35" width="10.625" style="134" bestFit="1" customWidth="1"/>
    <col min="36" max="36" width="14.125" style="134" bestFit="1" customWidth="1"/>
    <col min="37" max="37" width="10.625" style="134" bestFit="1" customWidth="1"/>
    <col min="38" max="38" width="14.125" style="134" bestFit="1" customWidth="1"/>
    <col min="39" max="39" width="10.625" style="134" bestFit="1" customWidth="1"/>
    <col min="40" max="40" width="14.125" style="134" bestFit="1" customWidth="1"/>
    <col min="41" max="41" width="11.375" style="134" bestFit="1" customWidth="1"/>
    <col min="42" max="42" width="14.125" style="134" bestFit="1" customWidth="1"/>
    <col min="43" max="43" width="10.625" style="134" bestFit="1" customWidth="1"/>
    <col min="44" max="44" width="14.125" style="134" bestFit="1" customWidth="1"/>
    <col min="45" max="45" width="11.375" style="134" bestFit="1" customWidth="1"/>
    <col min="46" max="46" width="14.125" style="134" bestFit="1" customWidth="1"/>
    <col min="47" max="47" width="11.375" style="134" bestFit="1" customWidth="1"/>
    <col min="48" max="48" width="14.125" style="134" bestFit="1" customWidth="1"/>
    <col min="49" max="49" width="11.375" style="134" bestFit="1" customWidth="1"/>
    <col min="50" max="50" width="14.125" style="134" bestFit="1" customWidth="1"/>
    <col min="51" max="51" width="11.375" style="134" bestFit="1" customWidth="1"/>
    <col min="52" max="52" width="14.125" style="134" bestFit="1" customWidth="1"/>
    <col min="53" max="53" width="10.625" style="134" bestFit="1" customWidth="1"/>
    <col min="54" max="54" width="14.125" style="134" bestFit="1" customWidth="1"/>
    <col min="55" max="55" width="10.625" style="134" bestFit="1" customWidth="1"/>
    <col min="56" max="56" width="14.125" style="134" bestFit="1" customWidth="1"/>
    <col min="57" max="57" width="11.375" style="134" bestFit="1" customWidth="1"/>
    <col min="58" max="58" width="14.125" style="134" bestFit="1" customWidth="1"/>
    <col min="59" max="59" width="11.375" style="134" bestFit="1" customWidth="1"/>
    <col min="60" max="60" width="14.125" style="134" bestFit="1" customWidth="1"/>
    <col min="61" max="61" width="11.375" style="134" bestFit="1" customWidth="1"/>
    <col min="62" max="62" width="14.125" style="134" bestFit="1" customWidth="1"/>
    <col min="63" max="63" width="10.625" style="134" bestFit="1" customWidth="1"/>
    <col min="64" max="64" width="14.125" style="134" bestFit="1" customWidth="1"/>
    <col min="65" max="65" width="10.625" style="134" bestFit="1" customWidth="1"/>
    <col min="66" max="66" width="14.125" style="134" bestFit="1" customWidth="1"/>
    <col min="67" max="67" width="11.375" style="134" bestFit="1" customWidth="1"/>
    <col min="68" max="68" width="14.125" style="134" bestFit="1" customWidth="1"/>
    <col min="69" max="69" width="10.625" style="134" bestFit="1" customWidth="1"/>
    <col min="70" max="70" width="14.125" style="134" bestFit="1" customWidth="1"/>
    <col min="71" max="71" width="11.375" style="134" bestFit="1" customWidth="1"/>
    <col min="72" max="72" width="14.125" style="134" bestFit="1" customWidth="1"/>
    <col min="73" max="73" width="10.625" style="134" bestFit="1" customWidth="1"/>
    <col min="74" max="74" width="14.125" style="134" bestFit="1" customWidth="1"/>
    <col min="75" max="75" width="11.375" style="134" bestFit="1" customWidth="1"/>
    <col min="76" max="76" width="14.125" style="134" bestFit="1" customWidth="1"/>
    <col min="77" max="77" width="10.625" style="134" bestFit="1" customWidth="1"/>
    <col min="78" max="78" width="14.125" style="134" bestFit="1" customWidth="1"/>
    <col min="79" max="79" width="11.375" style="134" bestFit="1" customWidth="1"/>
    <col min="80" max="80" width="14.125" style="134" bestFit="1" customWidth="1"/>
    <col min="81" max="81" width="10.625" style="134" bestFit="1" customWidth="1"/>
    <col min="82" max="82" width="14.125" style="134" bestFit="1" customWidth="1"/>
    <col min="83" max="83" width="11.375" style="134" bestFit="1" customWidth="1"/>
    <col min="84" max="84" width="14.125" style="134" bestFit="1" customWidth="1"/>
    <col min="85" max="85" width="11.375" style="134" bestFit="1" customWidth="1"/>
    <col min="86" max="86" width="14.125" style="134" bestFit="1" customWidth="1"/>
    <col min="87" max="87" width="11.375" style="134" bestFit="1" customWidth="1"/>
    <col min="88" max="88" width="14.125" style="134" bestFit="1" customWidth="1"/>
    <col min="89" max="89" width="10.625" style="134" bestFit="1" customWidth="1"/>
    <col min="90" max="90" width="14.125" style="134" bestFit="1" customWidth="1"/>
    <col min="91" max="91" width="10.625" style="134" bestFit="1" customWidth="1"/>
    <col min="92" max="92" width="14.125" style="134" bestFit="1" customWidth="1"/>
    <col min="93" max="93" width="11.375" style="134" bestFit="1" customWidth="1"/>
    <col min="94" max="94" width="14.125" style="134" bestFit="1" customWidth="1"/>
    <col min="95" max="95" width="10.625" style="134" bestFit="1" customWidth="1"/>
    <col min="96" max="96" width="14.125" style="134" bestFit="1" customWidth="1"/>
    <col min="97" max="97" width="10.625" style="134" bestFit="1" customWidth="1"/>
    <col min="98" max="98" width="14.125" style="134" bestFit="1" customWidth="1"/>
    <col min="99" max="99" width="11.375" style="134" bestFit="1" customWidth="1"/>
    <col min="100" max="100" width="14.125" style="134" bestFit="1" customWidth="1"/>
    <col min="101" max="101" width="10.625" style="134" bestFit="1" customWidth="1"/>
    <col min="102" max="102" width="14.125" style="134" bestFit="1" customWidth="1"/>
    <col min="103" max="103" width="11.375" style="134" bestFit="1" customWidth="1"/>
    <col min="104" max="104" width="14.125" style="134" bestFit="1" customWidth="1"/>
    <col min="105" max="105" width="11.375" style="134" bestFit="1" customWidth="1"/>
    <col min="106" max="106" width="14.125" style="134" bestFit="1" customWidth="1"/>
    <col min="107" max="107" width="11.5" style="134" bestFit="1" customWidth="1"/>
    <col min="108" max="1024" width="8" style="134"/>
  </cols>
  <sheetData>
    <row r="2" spans="2:17" ht="13.9">
      <c r="B2" s="16"/>
    </row>
    <row r="3" spans="2:17" ht="13.9">
      <c r="B3" s="16" t="s">
        <v>251</v>
      </c>
    </row>
    <row r="5" spans="2:17" ht="14.25">
      <c r="I5"/>
      <c r="J5"/>
    </row>
    <row r="6" spans="2:17" ht="15.75">
      <c r="C6" s="135" t="s">
        <v>252</v>
      </c>
      <c r="I6"/>
      <c r="J6"/>
    </row>
    <row r="8" spans="2:17" ht="14.25">
      <c r="C8" s="136" t="s">
        <v>253</v>
      </c>
      <c r="D8" s="136" t="s">
        <v>254</v>
      </c>
      <c r="E8" s="136" t="s">
        <v>255</v>
      </c>
      <c r="F8" s="136" t="s">
        <v>219</v>
      </c>
      <c r="G8" s="136" t="s">
        <v>256</v>
      </c>
      <c r="I8" s="169" t="s">
        <v>257</v>
      </c>
      <c r="J8" s="169" t="s">
        <v>254</v>
      </c>
      <c r="K8"/>
      <c r="L8"/>
      <c r="M8"/>
      <c r="N8"/>
      <c r="O8"/>
      <c r="P8"/>
      <c r="Q8"/>
    </row>
    <row r="9" spans="2:17" ht="14.25">
      <c r="C9" s="134" t="s">
        <v>258</v>
      </c>
      <c r="D9" s="134">
        <v>2004</v>
      </c>
      <c r="E9" s="134" t="s">
        <v>259</v>
      </c>
      <c r="F9" s="134" t="s">
        <v>238</v>
      </c>
      <c r="G9" s="137">
        <v>554536</v>
      </c>
      <c r="I9" s="169" t="s">
        <v>219</v>
      </c>
      <c r="J9">
        <v>2006</v>
      </c>
      <c r="K9" t="s">
        <v>115</v>
      </c>
      <c r="L9"/>
      <c r="M9"/>
      <c r="N9"/>
      <c r="O9"/>
      <c r="P9"/>
      <c r="Q9"/>
    </row>
    <row r="10" spans="2:17" ht="14.25">
      <c r="C10" s="134" t="s">
        <v>258</v>
      </c>
      <c r="D10" s="134">
        <v>2004</v>
      </c>
      <c r="E10" s="134" t="s">
        <v>260</v>
      </c>
      <c r="F10" s="134" t="s">
        <v>238</v>
      </c>
      <c r="G10" s="137">
        <v>540643</v>
      </c>
      <c r="I10" t="s">
        <v>238</v>
      </c>
      <c r="J10" s="170">
        <v>13067486</v>
      </c>
      <c r="K10" s="170">
        <v>13067486</v>
      </c>
      <c r="L10"/>
      <c r="M10"/>
      <c r="N10"/>
      <c r="O10"/>
      <c r="P10"/>
      <c r="Q10"/>
    </row>
    <row r="11" spans="2:17" ht="14.25">
      <c r="C11" s="134" t="s">
        <v>258</v>
      </c>
      <c r="D11" s="134">
        <v>2004</v>
      </c>
      <c r="E11" s="134" t="s">
        <v>261</v>
      </c>
      <c r="F11" s="134" t="s">
        <v>238</v>
      </c>
      <c r="G11" s="137">
        <v>577548</v>
      </c>
      <c r="I11" t="s">
        <v>236</v>
      </c>
      <c r="J11" s="170">
        <v>10078961</v>
      </c>
      <c r="K11" s="170">
        <v>10078961</v>
      </c>
      <c r="L11"/>
      <c r="M11"/>
      <c r="N11"/>
      <c r="O11"/>
      <c r="P11"/>
      <c r="Q11"/>
    </row>
    <row r="12" spans="2:17" ht="14.25">
      <c r="C12" s="134" t="s">
        <v>258</v>
      </c>
      <c r="D12" s="134">
        <v>2004</v>
      </c>
      <c r="E12" s="134" t="s">
        <v>262</v>
      </c>
      <c r="F12" s="134" t="s">
        <v>238</v>
      </c>
      <c r="G12" s="137">
        <v>455905</v>
      </c>
      <c r="I12" t="s">
        <v>237</v>
      </c>
      <c r="J12" s="170">
        <v>13816417</v>
      </c>
      <c r="K12" s="170">
        <v>13816417</v>
      </c>
      <c r="L12"/>
      <c r="M12"/>
      <c r="N12"/>
      <c r="O12"/>
      <c r="P12"/>
      <c r="Q12"/>
    </row>
    <row r="13" spans="2:17" ht="14.25">
      <c r="C13" s="134" t="s">
        <v>258</v>
      </c>
      <c r="D13" s="134">
        <v>2004</v>
      </c>
      <c r="E13" s="134" t="s">
        <v>263</v>
      </c>
      <c r="F13" s="134" t="s">
        <v>238</v>
      </c>
      <c r="G13" s="137">
        <v>490871</v>
      </c>
      <c r="I13" t="s">
        <v>115</v>
      </c>
      <c r="J13" s="170">
        <v>36962864</v>
      </c>
      <c r="K13" s="170">
        <v>36962864</v>
      </c>
      <c r="L13"/>
      <c r="M13"/>
      <c r="N13"/>
      <c r="O13"/>
      <c r="P13"/>
      <c r="Q13"/>
    </row>
    <row r="14" spans="2:17" ht="14.25">
      <c r="C14" s="134" t="s">
        <v>258</v>
      </c>
      <c r="D14" s="134">
        <v>2004</v>
      </c>
      <c r="E14" s="134" t="s">
        <v>264</v>
      </c>
      <c r="F14" s="134" t="s">
        <v>238</v>
      </c>
      <c r="G14" s="137">
        <v>446383</v>
      </c>
      <c r="I14" s="172" t="s">
        <v>254</v>
      </c>
      <c r="J14" s="171">
        <v>2005</v>
      </c>
      <c r="K14"/>
      <c r="L14"/>
      <c r="M14"/>
      <c r="N14"/>
      <c r="O14"/>
      <c r="P14"/>
      <c r="Q14"/>
    </row>
    <row r="15" spans="2:17" ht="14.25">
      <c r="C15" s="134" t="s">
        <v>258</v>
      </c>
      <c r="D15" s="134">
        <v>2004</v>
      </c>
      <c r="E15" s="134" t="s">
        <v>259</v>
      </c>
      <c r="F15" s="134" t="s">
        <v>236</v>
      </c>
      <c r="G15" s="138">
        <v>457726</v>
      </c>
      <c r="I15" s="169" t="s">
        <v>253</v>
      </c>
      <c r="J15" t="s">
        <v>258</v>
      </c>
      <c r="K15"/>
      <c r="L15"/>
    </row>
    <row r="16" spans="2:17" ht="14.25">
      <c r="C16" s="134" t="s">
        <v>258</v>
      </c>
      <c r="D16" s="134">
        <v>2004</v>
      </c>
      <c r="E16" s="134" t="s">
        <v>260</v>
      </c>
      <c r="F16" s="134" t="s">
        <v>236</v>
      </c>
      <c r="G16" s="138">
        <v>347696</v>
      </c>
      <c r="I16"/>
      <c r="J16"/>
      <c r="K16"/>
      <c r="L16"/>
    </row>
    <row r="17" spans="3:107" ht="14.25">
      <c r="C17" s="134" t="s">
        <v>258</v>
      </c>
      <c r="D17" s="134">
        <v>2004</v>
      </c>
      <c r="E17" s="134" t="s">
        <v>261</v>
      </c>
      <c r="F17" s="134" t="s">
        <v>236</v>
      </c>
      <c r="G17" s="138">
        <v>384541</v>
      </c>
      <c r="I17" s="169" t="s">
        <v>265</v>
      </c>
      <c r="J17" s="169" t="s">
        <v>219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3:107" ht="14.25">
      <c r="C18" s="134" t="s">
        <v>258</v>
      </c>
      <c r="D18" s="134">
        <v>2004</v>
      </c>
      <c r="E18" s="134" t="s">
        <v>262</v>
      </c>
      <c r="F18" s="134" t="s">
        <v>236</v>
      </c>
      <c r="G18" s="138">
        <v>386420</v>
      </c>
      <c r="I18" s="169" t="s">
        <v>255</v>
      </c>
      <c r="J18" t="s">
        <v>238</v>
      </c>
      <c r="K18" t="s">
        <v>236</v>
      </c>
      <c r="L18" t="s">
        <v>237</v>
      </c>
      <c r="M18" t="s">
        <v>115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3:107" ht="14.25">
      <c r="C19" s="134" t="s">
        <v>258</v>
      </c>
      <c r="D19" s="134">
        <v>2004</v>
      </c>
      <c r="E19" s="134" t="s">
        <v>263</v>
      </c>
      <c r="F19" s="134" t="s">
        <v>236</v>
      </c>
      <c r="G19" s="138">
        <v>370970</v>
      </c>
      <c r="I19" t="s">
        <v>259</v>
      </c>
      <c r="J19" s="170">
        <v>514649</v>
      </c>
      <c r="K19" s="170">
        <v>393690</v>
      </c>
      <c r="L19" s="170">
        <v>596707</v>
      </c>
      <c r="M19" s="170">
        <v>501682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3:107" ht="14.25">
      <c r="C20" s="134" t="s">
        <v>258</v>
      </c>
      <c r="D20" s="134">
        <v>2004</v>
      </c>
      <c r="E20" s="134" t="s">
        <v>264</v>
      </c>
      <c r="F20" s="134" t="s">
        <v>236</v>
      </c>
      <c r="G20" s="138">
        <v>430754</v>
      </c>
      <c r="I20" t="s">
        <v>260</v>
      </c>
      <c r="J20" s="170">
        <v>498673</v>
      </c>
      <c r="K20" s="170">
        <v>427784</v>
      </c>
      <c r="L20" s="170">
        <v>541275</v>
      </c>
      <c r="M20" s="170">
        <v>489244</v>
      </c>
      <c r="N20"/>
      <c r="O20"/>
      <c r="P20"/>
    </row>
    <row r="21" spans="3:107" ht="14.25">
      <c r="C21" s="134" t="s">
        <v>258</v>
      </c>
      <c r="D21" s="134">
        <v>2004</v>
      </c>
      <c r="E21" s="134" t="s">
        <v>259</v>
      </c>
      <c r="F21" s="134" t="s">
        <v>237</v>
      </c>
      <c r="G21" s="137">
        <v>500847</v>
      </c>
      <c r="I21" t="s">
        <v>261</v>
      </c>
      <c r="J21" s="170">
        <v>541930</v>
      </c>
      <c r="K21" s="170">
        <v>386772</v>
      </c>
      <c r="L21" s="170">
        <v>574091</v>
      </c>
      <c r="M21" s="170">
        <v>500931</v>
      </c>
      <c r="N21"/>
      <c r="O21"/>
      <c r="P21"/>
    </row>
    <row r="22" spans="3:107" ht="14.25">
      <c r="C22" s="134" t="s">
        <v>258</v>
      </c>
      <c r="D22" s="134">
        <v>2004</v>
      </c>
      <c r="E22" s="134" t="s">
        <v>260</v>
      </c>
      <c r="F22" s="134" t="s">
        <v>237</v>
      </c>
      <c r="G22" s="137">
        <v>507070</v>
      </c>
      <c r="I22" t="s">
        <v>262</v>
      </c>
      <c r="J22" s="170">
        <v>541022</v>
      </c>
      <c r="K22" s="170">
        <v>430461</v>
      </c>
      <c r="L22" s="170">
        <v>567246</v>
      </c>
      <c r="M22" s="170">
        <v>512909.66666666669</v>
      </c>
      <c r="N22"/>
      <c r="O22"/>
      <c r="P22"/>
    </row>
    <row r="23" spans="3:107" ht="14.25">
      <c r="C23" s="134" t="s">
        <v>258</v>
      </c>
      <c r="D23" s="134">
        <v>2004</v>
      </c>
      <c r="E23" s="134" t="s">
        <v>261</v>
      </c>
      <c r="F23" s="134" t="s">
        <v>237</v>
      </c>
      <c r="G23" s="137">
        <v>482346</v>
      </c>
      <c r="I23" t="s">
        <v>263</v>
      </c>
      <c r="J23" s="170">
        <v>487516</v>
      </c>
      <c r="K23" s="170">
        <v>481311</v>
      </c>
      <c r="L23" s="170">
        <v>530193</v>
      </c>
      <c r="M23" s="170">
        <v>499673.33333333331</v>
      </c>
    </row>
    <row r="24" spans="3:107" ht="14.25">
      <c r="C24" s="134" t="s">
        <v>258</v>
      </c>
      <c r="D24" s="134">
        <v>2004</v>
      </c>
      <c r="E24" s="134" t="s">
        <v>262</v>
      </c>
      <c r="F24" s="134" t="s">
        <v>237</v>
      </c>
      <c r="G24" s="137">
        <v>608713</v>
      </c>
      <c r="I24" t="s">
        <v>264</v>
      </c>
      <c r="J24" s="170">
        <v>558787</v>
      </c>
      <c r="K24" s="170">
        <v>529637</v>
      </c>
      <c r="L24" s="170">
        <v>475884</v>
      </c>
      <c r="M24" s="170">
        <v>521436</v>
      </c>
    </row>
    <row r="25" spans="3:107" ht="14.25">
      <c r="C25" s="134" t="s">
        <v>258</v>
      </c>
      <c r="D25" s="134">
        <v>2004</v>
      </c>
      <c r="E25" s="134" t="s">
        <v>263</v>
      </c>
      <c r="F25" s="134" t="s">
        <v>237</v>
      </c>
      <c r="G25" s="137">
        <v>554127</v>
      </c>
      <c r="I25" t="s">
        <v>115</v>
      </c>
      <c r="J25" s="170">
        <v>523762.83333333331</v>
      </c>
      <c r="K25" s="170">
        <v>441609.16666666669</v>
      </c>
      <c r="L25" s="170">
        <v>547566</v>
      </c>
      <c r="M25" s="170">
        <v>504312.66666666669</v>
      </c>
    </row>
    <row r="26" spans="3:107" ht="14.25">
      <c r="C26" s="134" t="s">
        <v>258</v>
      </c>
      <c r="D26" s="134">
        <v>2004</v>
      </c>
      <c r="E26" s="134" t="s">
        <v>264</v>
      </c>
      <c r="F26" s="134" t="s">
        <v>237</v>
      </c>
      <c r="G26" s="137">
        <v>500649</v>
      </c>
      <c r="I26"/>
      <c r="J26"/>
      <c r="K26"/>
      <c r="L26"/>
    </row>
    <row r="27" spans="3:107" ht="14.25">
      <c r="C27" s="134" t="s">
        <v>266</v>
      </c>
      <c r="D27" s="134">
        <v>2004</v>
      </c>
      <c r="E27" s="134" t="s">
        <v>259</v>
      </c>
      <c r="F27" s="134" t="s">
        <v>238</v>
      </c>
      <c r="G27" s="137">
        <v>545780</v>
      </c>
      <c r="I27"/>
      <c r="J27"/>
      <c r="K27"/>
      <c r="L27"/>
    </row>
    <row r="28" spans="3:107" ht="14.25">
      <c r="C28" s="134" t="s">
        <v>266</v>
      </c>
      <c r="D28" s="134">
        <v>2004</v>
      </c>
      <c r="E28" s="134" t="s">
        <v>260</v>
      </c>
      <c r="F28" s="134" t="s">
        <v>238</v>
      </c>
      <c r="G28" s="137">
        <v>440644</v>
      </c>
      <c r="I28"/>
      <c r="J28"/>
      <c r="K28"/>
      <c r="L28"/>
    </row>
    <row r="29" spans="3:107" ht="14.25">
      <c r="C29" s="134" t="s">
        <v>266</v>
      </c>
      <c r="D29" s="134">
        <v>2004</v>
      </c>
      <c r="E29" s="134" t="s">
        <v>261</v>
      </c>
      <c r="F29" s="134" t="s">
        <v>238</v>
      </c>
      <c r="G29" s="137">
        <v>580359</v>
      </c>
      <c r="I29"/>
      <c r="J29"/>
      <c r="K29" s="169" t="s">
        <v>219</v>
      </c>
      <c r="L29" s="169" t="s">
        <v>267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</row>
    <row r="30" spans="3:107" ht="14.25">
      <c r="C30" s="134" t="s">
        <v>266</v>
      </c>
      <c r="D30" s="134">
        <v>2004</v>
      </c>
      <c r="E30" s="134" t="s">
        <v>262</v>
      </c>
      <c r="F30" s="134" t="s">
        <v>238</v>
      </c>
      <c r="G30" s="137">
        <v>536225</v>
      </c>
      <c r="I30"/>
      <c r="J30"/>
      <c r="K30" t="s">
        <v>238</v>
      </c>
      <c r="L30"/>
      <c r="M30" t="s">
        <v>237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</row>
    <row r="31" spans="3:107" ht="14.25">
      <c r="C31" s="134" t="s">
        <v>266</v>
      </c>
      <c r="D31" s="134">
        <v>2004</v>
      </c>
      <c r="E31" s="134" t="s">
        <v>263</v>
      </c>
      <c r="F31" s="134" t="s">
        <v>238</v>
      </c>
      <c r="G31" s="137">
        <v>414908</v>
      </c>
      <c r="I31" s="169" t="s">
        <v>254</v>
      </c>
      <c r="J31" s="169" t="s">
        <v>253</v>
      </c>
      <c r="K31" t="s">
        <v>257</v>
      </c>
      <c r="L31" t="s">
        <v>268</v>
      </c>
      <c r="M31" t="s">
        <v>257</v>
      </c>
      <c r="N31" t="s">
        <v>268</v>
      </c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</row>
    <row r="32" spans="3:107" ht="14.25">
      <c r="C32" s="134" t="s">
        <v>266</v>
      </c>
      <c r="D32" s="134">
        <v>2004</v>
      </c>
      <c r="E32" s="134" t="s">
        <v>264</v>
      </c>
      <c r="F32" s="134" t="s">
        <v>238</v>
      </c>
      <c r="G32" s="137">
        <v>377997</v>
      </c>
      <c r="I32">
        <v>2005</v>
      </c>
      <c r="J32" t="s">
        <v>258</v>
      </c>
      <c r="K32" s="170">
        <v>3142577</v>
      </c>
      <c r="L32" s="170">
        <v>523762.83333333331</v>
      </c>
      <c r="M32" s="170">
        <v>3285396</v>
      </c>
      <c r="N32" s="170">
        <v>547566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</row>
    <row r="33" spans="3:107" ht="14.25">
      <c r="C33" s="134" t="s">
        <v>266</v>
      </c>
      <c r="D33" s="134">
        <v>2004</v>
      </c>
      <c r="E33" s="134" t="s">
        <v>259</v>
      </c>
      <c r="F33" s="134" t="s">
        <v>236</v>
      </c>
      <c r="G33" s="138">
        <v>331289</v>
      </c>
      <c r="I33"/>
      <c r="J33" t="s">
        <v>266</v>
      </c>
      <c r="K33" s="170">
        <v>3227213</v>
      </c>
      <c r="L33" s="170">
        <v>537868.83333333337</v>
      </c>
      <c r="M33" s="170">
        <v>3230928</v>
      </c>
      <c r="N33" s="170">
        <v>538488</v>
      </c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</row>
    <row r="34" spans="3:107" ht="14.25">
      <c r="C34" s="134" t="s">
        <v>266</v>
      </c>
      <c r="D34" s="134">
        <v>2004</v>
      </c>
      <c r="E34" s="134" t="s">
        <v>260</v>
      </c>
      <c r="F34" s="134" t="s">
        <v>236</v>
      </c>
      <c r="G34" s="138">
        <v>384572</v>
      </c>
      <c r="I34"/>
      <c r="J34" t="s">
        <v>269</v>
      </c>
      <c r="K34" s="170">
        <v>3360737</v>
      </c>
      <c r="L34" s="170">
        <v>560122.83333333337</v>
      </c>
      <c r="M34" s="170">
        <v>3536132</v>
      </c>
      <c r="N34" s="170">
        <v>589355.33333333337</v>
      </c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</row>
    <row r="35" spans="3:107" ht="14.25">
      <c r="C35" s="134" t="s">
        <v>266</v>
      </c>
      <c r="D35" s="134">
        <v>2004</v>
      </c>
      <c r="E35" s="134" t="s">
        <v>261</v>
      </c>
      <c r="F35" s="134" t="s">
        <v>236</v>
      </c>
      <c r="G35" s="138">
        <v>365813</v>
      </c>
      <c r="I35"/>
      <c r="J35" t="s">
        <v>270</v>
      </c>
      <c r="K35" s="170">
        <v>2860072</v>
      </c>
      <c r="L35" s="170">
        <v>476678.66666666669</v>
      </c>
      <c r="M35" s="170">
        <v>3109297</v>
      </c>
      <c r="N35" s="170">
        <v>518216.16666666669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</row>
    <row r="36" spans="3:107" ht="14.25">
      <c r="C36" s="134" t="s">
        <v>266</v>
      </c>
      <c r="D36" s="134">
        <v>2004</v>
      </c>
      <c r="E36" s="134" t="s">
        <v>262</v>
      </c>
      <c r="F36" s="134" t="s">
        <v>236</v>
      </c>
      <c r="G36" s="138">
        <v>396338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</row>
    <row r="37" spans="3:107" ht="14.25">
      <c r="C37" s="134" t="s">
        <v>266</v>
      </c>
      <c r="D37" s="134">
        <v>2004</v>
      </c>
      <c r="E37" s="134" t="s">
        <v>263</v>
      </c>
      <c r="F37" s="134" t="s">
        <v>236</v>
      </c>
      <c r="G37" s="138">
        <v>453761</v>
      </c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</row>
    <row r="38" spans="3:107" ht="14.25">
      <c r="C38" s="134" t="s">
        <v>266</v>
      </c>
      <c r="D38" s="134">
        <v>2004</v>
      </c>
      <c r="E38" s="134" t="s">
        <v>264</v>
      </c>
      <c r="F38" s="134" t="s">
        <v>236</v>
      </c>
      <c r="G38" s="138">
        <v>356538</v>
      </c>
      <c r="I38"/>
      <c r="J38"/>
      <c r="K38"/>
    </row>
    <row r="39" spans="3:107" ht="14.25">
      <c r="C39" s="134" t="s">
        <v>266</v>
      </c>
      <c r="D39" s="134">
        <v>2004</v>
      </c>
      <c r="E39" s="134" t="s">
        <v>259</v>
      </c>
      <c r="F39" s="134" t="s">
        <v>237</v>
      </c>
      <c r="G39" s="137">
        <v>606332</v>
      </c>
      <c r="I39" s="169" t="s">
        <v>253</v>
      </c>
      <c r="J39" t="s">
        <v>270</v>
      </c>
      <c r="K39"/>
    </row>
    <row r="40" spans="3:107" ht="14.25">
      <c r="C40" s="134" t="s">
        <v>266</v>
      </c>
      <c r="D40" s="134">
        <v>2004</v>
      </c>
      <c r="E40" s="134" t="s">
        <v>260</v>
      </c>
      <c r="F40" s="134" t="s">
        <v>237</v>
      </c>
      <c r="G40" s="137">
        <v>535218</v>
      </c>
      <c r="I40"/>
      <c r="J40"/>
      <c r="K40"/>
    </row>
    <row r="41" spans="3:107" ht="14.25">
      <c r="C41" s="134" t="s">
        <v>266</v>
      </c>
      <c r="D41" s="134">
        <v>2004</v>
      </c>
      <c r="E41" s="134" t="s">
        <v>261</v>
      </c>
      <c r="F41" s="134" t="s">
        <v>237</v>
      </c>
      <c r="G41" s="137">
        <v>493364</v>
      </c>
      <c r="I41"/>
      <c r="J41" s="169" t="s">
        <v>255</v>
      </c>
      <c r="K41"/>
      <c r="L41"/>
      <c r="M41"/>
    </row>
    <row r="42" spans="3:107" ht="14.25">
      <c r="C42" s="134" t="s">
        <v>266</v>
      </c>
      <c r="D42" s="134">
        <v>2004</v>
      </c>
      <c r="E42" s="134" t="s">
        <v>262</v>
      </c>
      <c r="F42" s="134" t="s">
        <v>237</v>
      </c>
      <c r="G42" s="137">
        <v>559100</v>
      </c>
      <c r="I42"/>
      <c r="J42" t="s">
        <v>262</v>
      </c>
      <c r="K42" t="s">
        <v>263</v>
      </c>
      <c r="L42" t="s">
        <v>264</v>
      </c>
      <c r="M42" t="s">
        <v>115</v>
      </c>
    </row>
    <row r="43" spans="3:107" ht="14.25">
      <c r="C43" s="134" t="s">
        <v>266</v>
      </c>
      <c r="D43" s="134">
        <v>2004</v>
      </c>
      <c r="E43" s="134" t="s">
        <v>263</v>
      </c>
      <c r="F43" s="134" t="s">
        <v>237</v>
      </c>
      <c r="G43" s="137">
        <v>520592</v>
      </c>
      <c r="I43" t="s">
        <v>257</v>
      </c>
      <c r="J43" s="170">
        <v>4168249</v>
      </c>
      <c r="K43" s="170">
        <v>3851930</v>
      </c>
      <c r="L43" s="170">
        <v>3881289</v>
      </c>
      <c r="M43" s="170">
        <v>11901468</v>
      </c>
    </row>
    <row r="44" spans="3:107" ht="14.25">
      <c r="C44" s="134" t="s">
        <v>266</v>
      </c>
      <c r="D44" s="134">
        <v>2004</v>
      </c>
      <c r="E44" s="134" t="s">
        <v>264</v>
      </c>
      <c r="F44" s="134" t="s">
        <v>237</v>
      </c>
      <c r="G44" s="137">
        <v>476975</v>
      </c>
      <c r="I44"/>
      <c r="J44"/>
      <c r="K44"/>
    </row>
    <row r="45" spans="3:107" ht="14.25">
      <c r="C45" s="134" t="s">
        <v>269</v>
      </c>
      <c r="D45" s="134">
        <v>2004</v>
      </c>
      <c r="E45" s="134" t="s">
        <v>259</v>
      </c>
      <c r="F45" s="134" t="s">
        <v>238</v>
      </c>
      <c r="G45" s="137">
        <v>545621</v>
      </c>
      <c r="I45"/>
      <c r="J45"/>
      <c r="K45"/>
    </row>
    <row r="46" spans="3:107" ht="14.25">
      <c r="C46" s="134" t="s">
        <v>269</v>
      </c>
      <c r="D46" s="134">
        <v>2004</v>
      </c>
      <c r="E46" s="134" t="s">
        <v>260</v>
      </c>
      <c r="F46" s="134" t="s">
        <v>238</v>
      </c>
      <c r="G46" s="137">
        <v>489255</v>
      </c>
      <c r="I46"/>
      <c r="J46"/>
      <c r="K46"/>
    </row>
    <row r="47" spans="3:107" ht="14.25">
      <c r="C47" s="134" t="s">
        <v>269</v>
      </c>
      <c r="D47" s="134">
        <v>2004</v>
      </c>
      <c r="E47" s="134" t="s">
        <v>261</v>
      </c>
      <c r="F47" s="134" t="s">
        <v>238</v>
      </c>
      <c r="G47" s="137">
        <v>523124</v>
      </c>
      <c r="I47"/>
      <c r="J47"/>
      <c r="K47"/>
    </row>
    <row r="48" spans="3:107" ht="14.25">
      <c r="C48" s="134" t="s">
        <v>269</v>
      </c>
      <c r="D48" s="134">
        <v>2004</v>
      </c>
      <c r="E48" s="134" t="s">
        <v>262</v>
      </c>
      <c r="F48" s="134" t="s">
        <v>238</v>
      </c>
      <c r="G48" s="137">
        <v>612216</v>
      </c>
      <c r="I48"/>
      <c r="J48"/>
      <c r="K48"/>
    </row>
    <row r="49" spans="3:11" ht="14.25">
      <c r="C49" s="134" t="s">
        <v>269</v>
      </c>
      <c r="D49" s="134">
        <v>2004</v>
      </c>
      <c r="E49" s="134" t="s">
        <v>263</v>
      </c>
      <c r="F49" s="134" t="s">
        <v>238</v>
      </c>
      <c r="G49" s="137">
        <v>425562</v>
      </c>
      <c r="I49"/>
      <c r="J49"/>
      <c r="K49"/>
    </row>
    <row r="50" spans="3:11" ht="14.25">
      <c r="C50" s="134" t="s">
        <v>269</v>
      </c>
      <c r="D50" s="134">
        <v>2004</v>
      </c>
      <c r="E50" s="134" t="s">
        <v>264</v>
      </c>
      <c r="F50" s="134" t="s">
        <v>238</v>
      </c>
      <c r="G50" s="137">
        <v>485285</v>
      </c>
      <c r="I50"/>
      <c r="J50"/>
      <c r="K50"/>
    </row>
    <row r="51" spans="3:11" ht="14.25">
      <c r="C51" s="134" t="s">
        <v>269</v>
      </c>
      <c r="D51" s="134">
        <v>2004</v>
      </c>
      <c r="E51" s="134" t="s">
        <v>259</v>
      </c>
      <c r="F51" s="134" t="s">
        <v>236</v>
      </c>
      <c r="G51" s="138">
        <v>467173</v>
      </c>
      <c r="I51"/>
      <c r="J51"/>
      <c r="K51"/>
    </row>
    <row r="52" spans="3:11" ht="14.25">
      <c r="C52" s="134" t="s">
        <v>269</v>
      </c>
      <c r="D52" s="134">
        <v>2004</v>
      </c>
      <c r="E52" s="134" t="s">
        <v>260</v>
      </c>
      <c r="F52" s="134" t="s">
        <v>236</v>
      </c>
      <c r="G52" s="138">
        <v>447637</v>
      </c>
      <c r="I52"/>
      <c r="J52"/>
      <c r="K52"/>
    </row>
    <row r="53" spans="3:11" ht="14.25">
      <c r="C53" s="134" t="s">
        <v>269</v>
      </c>
      <c r="D53" s="134">
        <v>2004</v>
      </c>
      <c r="E53" s="134" t="s">
        <v>261</v>
      </c>
      <c r="F53" s="134" t="s">
        <v>236</v>
      </c>
      <c r="G53" s="138">
        <v>407542</v>
      </c>
      <c r="I53"/>
      <c r="J53"/>
      <c r="K53"/>
    </row>
    <row r="54" spans="3:11" ht="14.25">
      <c r="C54" s="134" t="s">
        <v>269</v>
      </c>
      <c r="D54" s="134">
        <v>2004</v>
      </c>
      <c r="E54" s="134" t="s">
        <v>262</v>
      </c>
      <c r="F54" s="134" t="s">
        <v>236</v>
      </c>
      <c r="G54" s="138">
        <v>449575</v>
      </c>
      <c r="I54"/>
      <c r="J54"/>
      <c r="K54"/>
    </row>
    <row r="55" spans="3:11" ht="14.25">
      <c r="C55" s="134" t="s">
        <v>269</v>
      </c>
      <c r="D55" s="134">
        <v>2004</v>
      </c>
      <c r="E55" s="134" t="s">
        <v>263</v>
      </c>
      <c r="F55" s="134" t="s">
        <v>236</v>
      </c>
      <c r="G55" s="138">
        <v>403248</v>
      </c>
      <c r="I55"/>
      <c r="J55"/>
      <c r="K55"/>
    </row>
    <row r="56" spans="3:11" ht="14.25">
      <c r="C56" s="134" t="s">
        <v>269</v>
      </c>
      <c r="D56" s="134">
        <v>2004</v>
      </c>
      <c r="E56" s="134" t="s">
        <v>264</v>
      </c>
      <c r="F56" s="134" t="s">
        <v>236</v>
      </c>
      <c r="G56" s="138">
        <v>449293</v>
      </c>
      <c r="I56"/>
      <c r="J56"/>
      <c r="K56"/>
    </row>
    <row r="57" spans="3:11" ht="14.25">
      <c r="C57" s="134" t="s">
        <v>269</v>
      </c>
      <c r="D57" s="134">
        <v>2004</v>
      </c>
      <c r="E57" s="134" t="s">
        <v>259</v>
      </c>
      <c r="F57" s="134" t="s">
        <v>237</v>
      </c>
      <c r="G57" s="137">
        <v>493845</v>
      </c>
      <c r="I57"/>
      <c r="J57"/>
      <c r="K57"/>
    </row>
    <row r="58" spans="3:11" ht="14.25">
      <c r="C58" s="134" t="s">
        <v>269</v>
      </c>
      <c r="D58" s="134">
        <v>2004</v>
      </c>
      <c r="E58" s="134" t="s">
        <v>260</v>
      </c>
      <c r="F58" s="134" t="s">
        <v>237</v>
      </c>
      <c r="G58" s="137">
        <v>523464</v>
      </c>
      <c r="I58"/>
      <c r="J58"/>
      <c r="K58"/>
    </row>
    <row r="59" spans="3:11" ht="14.25">
      <c r="C59" s="134" t="s">
        <v>269</v>
      </c>
      <c r="D59" s="134">
        <v>2004</v>
      </c>
      <c r="E59" s="134" t="s">
        <v>261</v>
      </c>
      <c r="F59" s="134" t="s">
        <v>237</v>
      </c>
      <c r="G59" s="137">
        <v>575692</v>
      </c>
    </row>
    <row r="60" spans="3:11" ht="14.25">
      <c r="C60" s="134" t="s">
        <v>269</v>
      </c>
      <c r="D60" s="134">
        <v>2004</v>
      </c>
      <c r="E60" s="134" t="s">
        <v>262</v>
      </c>
      <c r="F60" s="134" t="s">
        <v>237</v>
      </c>
      <c r="G60" s="137">
        <v>568633</v>
      </c>
    </row>
    <row r="61" spans="3:11" ht="14.25">
      <c r="C61" s="134" t="s">
        <v>269</v>
      </c>
      <c r="D61" s="134">
        <v>2004</v>
      </c>
      <c r="E61" s="134" t="s">
        <v>263</v>
      </c>
      <c r="F61" s="134" t="s">
        <v>237</v>
      </c>
      <c r="G61" s="137">
        <v>608569</v>
      </c>
    </row>
    <row r="62" spans="3:11" ht="14.25">
      <c r="C62" s="134" t="s">
        <v>269</v>
      </c>
      <c r="D62" s="134">
        <v>2004</v>
      </c>
      <c r="E62" s="134" t="s">
        <v>264</v>
      </c>
      <c r="F62" s="134" t="s">
        <v>237</v>
      </c>
      <c r="G62" s="137">
        <v>487012</v>
      </c>
    </row>
    <row r="63" spans="3:11" ht="14.25">
      <c r="C63" s="134" t="s">
        <v>270</v>
      </c>
      <c r="D63" s="134">
        <v>2004</v>
      </c>
      <c r="E63" s="134" t="s">
        <v>259</v>
      </c>
      <c r="F63" s="134" t="s">
        <v>238</v>
      </c>
      <c r="G63" s="137">
        <v>519177</v>
      </c>
    </row>
    <row r="64" spans="3:11" ht="14.25">
      <c r="C64" s="134" t="s">
        <v>270</v>
      </c>
      <c r="D64" s="134">
        <v>2004</v>
      </c>
      <c r="E64" s="134" t="s">
        <v>260</v>
      </c>
      <c r="F64" s="134" t="s">
        <v>238</v>
      </c>
      <c r="G64" s="137">
        <v>488597</v>
      </c>
    </row>
    <row r="65" spans="3:7" ht="14.25">
      <c r="C65" s="134" t="s">
        <v>270</v>
      </c>
      <c r="D65" s="134">
        <v>2004</v>
      </c>
      <c r="E65" s="134" t="s">
        <v>261</v>
      </c>
      <c r="F65" s="134" t="s">
        <v>238</v>
      </c>
      <c r="G65" s="137">
        <v>456653</v>
      </c>
    </row>
    <row r="66" spans="3:7" ht="14.25">
      <c r="C66" s="134" t="s">
        <v>270</v>
      </c>
      <c r="D66" s="134">
        <v>2004</v>
      </c>
      <c r="E66" s="134" t="s">
        <v>262</v>
      </c>
      <c r="F66" s="134" t="s">
        <v>238</v>
      </c>
      <c r="G66" s="137">
        <v>528843</v>
      </c>
    </row>
    <row r="67" spans="3:7" ht="14.25">
      <c r="C67" s="134" t="s">
        <v>270</v>
      </c>
      <c r="D67" s="134">
        <v>2004</v>
      </c>
      <c r="E67" s="134" t="s">
        <v>263</v>
      </c>
      <c r="F67" s="134" t="s">
        <v>238</v>
      </c>
      <c r="G67" s="137">
        <v>420782</v>
      </c>
    </row>
    <row r="68" spans="3:7" ht="14.25">
      <c r="C68" s="134" t="s">
        <v>270</v>
      </c>
      <c r="D68" s="134">
        <v>2004</v>
      </c>
      <c r="E68" s="134" t="s">
        <v>264</v>
      </c>
      <c r="F68" s="134" t="s">
        <v>238</v>
      </c>
      <c r="G68" s="137">
        <v>439751</v>
      </c>
    </row>
    <row r="69" spans="3:7" ht="14.25">
      <c r="C69" s="134" t="s">
        <v>270</v>
      </c>
      <c r="D69" s="134">
        <v>2004</v>
      </c>
      <c r="E69" s="134" t="s">
        <v>259</v>
      </c>
      <c r="F69" s="134" t="s">
        <v>236</v>
      </c>
      <c r="G69" s="138">
        <v>348503</v>
      </c>
    </row>
    <row r="70" spans="3:7" ht="14.25">
      <c r="C70" s="134" t="s">
        <v>270</v>
      </c>
      <c r="D70" s="134">
        <v>2004</v>
      </c>
      <c r="E70" s="134" t="s">
        <v>260</v>
      </c>
      <c r="F70" s="134" t="s">
        <v>236</v>
      </c>
      <c r="G70" s="138">
        <v>352086</v>
      </c>
    </row>
    <row r="71" spans="3:7" ht="14.25">
      <c r="C71" s="134" t="s">
        <v>270</v>
      </c>
      <c r="D71" s="134">
        <v>2004</v>
      </c>
      <c r="E71" s="134" t="s">
        <v>261</v>
      </c>
      <c r="F71" s="134" t="s">
        <v>236</v>
      </c>
      <c r="G71" s="138">
        <v>336824</v>
      </c>
    </row>
    <row r="72" spans="3:7" ht="14.25">
      <c r="C72" s="134" t="s">
        <v>270</v>
      </c>
      <c r="D72" s="134">
        <v>2004</v>
      </c>
      <c r="E72" s="134" t="s">
        <v>262</v>
      </c>
      <c r="F72" s="134" t="s">
        <v>236</v>
      </c>
      <c r="G72" s="138">
        <v>350924</v>
      </c>
    </row>
    <row r="73" spans="3:7" ht="14.25">
      <c r="C73" s="134" t="s">
        <v>270</v>
      </c>
      <c r="D73" s="134">
        <v>2004</v>
      </c>
      <c r="E73" s="134" t="s">
        <v>263</v>
      </c>
      <c r="F73" s="134" t="s">
        <v>236</v>
      </c>
      <c r="G73" s="138">
        <v>338334</v>
      </c>
    </row>
    <row r="74" spans="3:7" ht="14.25">
      <c r="C74" s="134" t="s">
        <v>270</v>
      </c>
      <c r="D74" s="134">
        <v>2004</v>
      </c>
      <c r="E74" s="134" t="s">
        <v>264</v>
      </c>
      <c r="F74" s="134" t="s">
        <v>236</v>
      </c>
      <c r="G74" s="138">
        <v>383738</v>
      </c>
    </row>
    <row r="75" spans="3:7" ht="14.25">
      <c r="C75" s="134" t="s">
        <v>270</v>
      </c>
      <c r="D75" s="134">
        <v>2004</v>
      </c>
      <c r="E75" s="134" t="s">
        <v>259</v>
      </c>
      <c r="F75" s="134" t="s">
        <v>237</v>
      </c>
      <c r="G75" s="137">
        <v>508939</v>
      </c>
    </row>
    <row r="76" spans="3:7" ht="14.25">
      <c r="C76" s="134" t="s">
        <v>270</v>
      </c>
      <c r="D76" s="134">
        <v>2004</v>
      </c>
      <c r="E76" s="134" t="s">
        <v>260</v>
      </c>
      <c r="F76" s="134" t="s">
        <v>237</v>
      </c>
      <c r="G76" s="137">
        <v>393294</v>
      </c>
    </row>
    <row r="77" spans="3:7" ht="14.25">
      <c r="C77" s="134" t="s">
        <v>270</v>
      </c>
      <c r="D77" s="134">
        <v>2004</v>
      </c>
      <c r="E77" s="134" t="s">
        <v>261</v>
      </c>
      <c r="F77" s="134" t="s">
        <v>237</v>
      </c>
      <c r="G77" s="137">
        <v>430380</v>
      </c>
    </row>
    <row r="78" spans="3:7" ht="14.25">
      <c r="C78" s="134" t="s">
        <v>270</v>
      </c>
      <c r="D78" s="134">
        <v>2004</v>
      </c>
      <c r="E78" s="134" t="s">
        <v>262</v>
      </c>
      <c r="F78" s="134" t="s">
        <v>237</v>
      </c>
      <c r="G78" s="137">
        <v>390741</v>
      </c>
    </row>
    <row r="79" spans="3:7" ht="14.25">
      <c r="C79" s="134" t="s">
        <v>270</v>
      </c>
      <c r="D79" s="134">
        <v>2004</v>
      </c>
      <c r="E79" s="134" t="s">
        <v>263</v>
      </c>
      <c r="F79" s="134" t="s">
        <v>237</v>
      </c>
      <c r="G79" s="137">
        <v>500437</v>
      </c>
    </row>
    <row r="80" spans="3:7" ht="14.25">
      <c r="C80" s="134" t="s">
        <v>270</v>
      </c>
      <c r="D80" s="134">
        <v>2004</v>
      </c>
      <c r="E80" s="134" t="s">
        <v>264</v>
      </c>
      <c r="F80" s="134" t="s">
        <v>237</v>
      </c>
      <c r="G80" s="137">
        <v>522282</v>
      </c>
    </row>
    <row r="81" spans="3:8" ht="14.25">
      <c r="C81" s="134" t="s">
        <v>258</v>
      </c>
      <c r="D81" s="134">
        <v>2005</v>
      </c>
      <c r="E81" s="134" t="s">
        <v>259</v>
      </c>
      <c r="F81" s="134" t="s">
        <v>238</v>
      </c>
      <c r="G81" s="139">
        <v>514649</v>
      </c>
      <c r="H81" s="139"/>
    </row>
    <row r="82" spans="3:8" ht="14.25">
      <c r="C82" s="134" t="s">
        <v>258</v>
      </c>
      <c r="D82" s="134">
        <v>2005</v>
      </c>
      <c r="E82" s="134" t="s">
        <v>260</v>
      </c>
      <c r="F82" s="134" t="s">
        <v>238</v>
      </c>
      <c r="G82" s="139">
        <v>498673</v>
      </c>
      <c r="H82" s="139"/>
    </row>
    <row r="83" spans="3:8" ht="14.25">
      <c r="C83" s="134" t="s">
        <v>258</v>
      </c>
      <c r="D83" s="134">
        <v>2005</v>
      </c>
      <c r="E83" s="134" t="s">
        <v>261</v>
      </c>
      <c r="F83" s="134" t="s">
        <v>238</v>
      </c>
      <c r="G83" s="139">
        <v>541930</v>
      </c>
      <c r="H83" s="139"/>
    </row>
    <row r="84" spans="3:8">
      <c r="C84" s="134" t="s">
        <v>258</v>
      </c>
      <c r="D84" s="134">
        <v>2005</v>
      </c>
      <c r="E84" s="134" t="s">
        <v>262</v>
      </c>
      <c r="F84" s="134" t="s">
        <v>238</v>
      </c>
      <c r="G84" s="139">
        <v>541022</v>
      </c>
      <c r="H84" s="139"/>
    </row>
    <row r="85" spans="3:8">
      <c r="C85" s="134" t="s">
        <v>258</v>
      </c>
      <c r="D85" s="134">
        <v>2005</v>
      </c>
      <c r="E85" s="134" t="s">
        <v>263</v>
      </c>
      <c r="F85" s="134" t="s">
        <v>238</v>
      </c>
      <c r="G85" s="139">
        <v>487516</v>
      </c>
      <c r="H85" s="139"/>
    </row>
    <row r="86" spans="3:8">
      <c r="C86" s="134" t="s">
        <v>258</v>
      </c>
      <c r="D86" s="134">
        <v>2005</v>
      </c>
      <c r="E86" s="134" t="s">
        <v>264</v>
      </c>
      <c r="F86" s="134" t="s">
        <v>238</v>
      </c>
      <c r="G86" s="139">
        <v>558787</v>
      </c>
      <c r="H86" s="139"/>
    </row>
    <row r="87" spans="3:8">
      <c r="C87" s="134" t="s">
        <v>258</v>
      </c>
      <c r="D87" s="134">
        <v>2005</v>
      </c>
      <c r="E87" s="134" t="s">
        <v>259</v>
      </c>
      <c r="F87" s="134" t="s">
        <v>236</v>
      </c>
      <c r="G87" s="139">
        <v>393690</v>
      </c>
      <c r="H87" s="139"/>
    </row>
    <row r="88" spans="3:8">
      <c r="C88" s="134" t="s">
        <v>258</v>
      </c>
      <c r="D88" s="134">
        <v>2005</v>
      </c>
      <c r="E88" s="134" t="s">
        <v>260</v>
      </c>
      <c r="F88" s="134" t="s">
        <v>236</v>
      </c>
      <c r="G88" s="139">
        <v>427784</v>
      </c>
      <c r="H88" s="139"/>
    </row>
    <row r="89" spans="3:8">
      <c r="C89" s="134" t="s">
        <v>258</v>
      </c>
      <c r="D89" s="134">
        <v>2005</v>
      </c>
      <c r="E89" s="134" t="s">
        <v>261</v>
      </c>
      <c r="F89" s="134" t="s">
        <v>236</v>
      </c>
      <c r="G89" s="139">
        <v>386772</v>
      </c>
      <c r="H89" s="139"/>
    </row>
    <row r="90" spans="3:8">
      <c r="C90" s="134" t="s">
        <v>258</v>
      </c>
      <c r="D90" s="134">
        <v>2005</v>
      </c>
      <c r="E90" s="134" t="s">
        <v>262</v>
      </c>
      <c r="F90" s="134" t="s">
        <v>236</v>
      </c>
      <c r="G90" s="139">
        <v>430461</v>
      </c>
      <c r="H90" s="139"/>
    </row>
    <row r="91" spans="3:8">
      <c r="C91" s="134" t="s">
        <v>258</v>
      </c>
      <c r="D91" s="134">
        <v>2005</v>
      </c>
      <c r="E91" s="134" t="s">
        <v>263</v>
      </c>
      <c r="F91" s="134" t="s">
        <v>236</v>
      </c>
      <c r="G91" s="139">
        <v>481311</v>
      </c>
      <c r="H91" s="139"/>
    </row>
    <row r="92" spans="3:8">
      <c r="C92" s="134" t="s">
        <v>258</v>
      </c>
      <c r="D92" s="134">
        <v>2005</v>
      </c>
      <c r="E92" s="134" t="s">
        <v>264</v>
      </c>
      <c r="F92" s="134" t="s">
        <v>236</v>
      </c>
      <c r="G92" s="139">
        <v>529637</v>
      </c>
      <c r="H92" s="139"/>
    </row>
    <row r="93" spans="3:8">
      <c r="C93" s="134" t="s">
        <v>258</v>
      </c>
      <c r="D93" s="134">
        <v>2005</v>
      </c>
      <c r="E93" s="134" t="s">
        <v>259</v>
      </c>
      <c r="F93" s="134" t="s">
        <v>237</v>
      </c>
      <c r="G93" s="139">
        <v>596707</v>
      </c>
      <c r="H93" s="139"/>
    </row>
    <row r="94" spans="3:8">
      <c r="C94" s="134" t="s">
        <v>258</v>
      </c>
      <c r="D94" s="134">
        <v>2005</v>
      </c>
      <c r="E94" s="134" t="s">
        <v>260</v>
      </c>
      <c r="F94" s="134" t="s">
        <v>237</v>
      </c>
      <c r="G94" s="139">
        <v>541275</v>
      </c>
      <c r="H94" s="139"/>
    </row>
    <row r="95" spans="3:8">
      <c r="C95" s="134" t="s">
        <v>258</v>
      </c>
      <c r="D95" s="134">
        <v>2005</v>
      </c>
      <c r="E95" s="134" t="s">
        <v>261</v>
      </c>
      <c r="F95" s="134" t="s">
        <v>237</v>
      </c>
      <c r="G95" s="139">
        <v>574091</v>
      </c>
      <c r="H95" s="139"/>
    </row>
    <row r="96" spans="3:8">
      <c r="C96" s="134" t="s">
        <v>258</v>
      </c>
      <c r="D96" s="134">
        <v>2005</v>
      </c>
      <c r="E96" s="134" t="s">
        <v>262</v>
      </c>
      <c r="F96" s="134" t="s">
        <v>237</v>
      </c>
      <c r="G96" s="139">
        <v>567246</v>
      </c>
      <c r="H96" s="139"/>
    </row>
    <row r="97" spans="3:8">
      <c r="C97" s="134" t="s">
        <v>258</v>
      </c>
      <c r="D97" s="134">
        <v>2005</v>
      </c>
      <c r="E97" s="134" t="s">
        <v>263</v>
      </c>
      <c r="F97" s="134" t="s">
        <v>237</v>
      </c>
      <c r="G97" s="139">
        <v>530193</v>
      </c>
      <c r="H97" s="139"/>
    </row>
    <row r="98" spans="3:8">
      <c r="C98" s="134" t="s">
        <v>258</v>
      </c>
      <c r="D98" s="134">
        <v>2005</v>
      </c>
      <c r="E98" s="134" t="s">
        <v>264</v>
      </c>
      <c r="F98" s="134" t="s">
        <v>237</v>
      </c>
      <c r="G98" s="139">
        <v>475884</v>
      </c>
      <c r="H98" s="139"/>
    </row>
    <row r="99" spans="3:8">
      <c r="C99" s="134" t="s">
        <v>266</v>
      </c>
      <c r="D99" s="134">
        <v>2005</v>
      </c>
      <c r="E99" s="134" t="s">
        <v>259</v>
      </c>
      <c r="F99" s="134" t="s">
        <v>238</v>
      </c>
      <c r="G99" s="139">
        <v>533691</v>
      </c>
      <c r="H99" s="139"/>
    </row>
    <row r="100" spans="3:8">
      <c r="C100" s="134" t="s">
        <v>266</v>
      </c>
      <c r="D100" s="134">
        <v>2005</v>
      </c>
      <c r="E100" s="134" t="s">
        <v>260</v>
      </c>
      <c r="F100" s="134" t="s">
        <v>238</v>
      </c>
      <c r="G100" s="139">
        <v>534352</v>
      </c>
      <c r="H100" s="139"/>
    </row>
    <row r="101" spans="3:8">
      <c r="C101" s="134" t="s">
        <v>266</v>
      </c>
      <c r="D101" s="134">
        <v>2005</v>
      </c>
      <c r="E101" s="134" t="s">
        <v>261</v>
      </c>
      <c r="F101" s="134" t="s">
        <v>238</v>
      </c>
      <c r="G101" s="139">
        <v>588845</v>
      </c>
      <c r="H101" s="139"/>
    </row>
    <row r="102" spans="3:8">
      <c r="C102" s="134" t="s">
        <v>266</v>
      </c>
      <c r="D102" s="134">
        <v>2005</v>
      </c>
      <c r="E102" s="134" t="s">
        <v>262</v>
      </c>
      <c r="F102" s="134" t="s">
        <v>238</v>
      </c>
      <c r="G102" s="139">
        <v>513750</v>
      </c>
      <c r="H102" s="139"/>
    </row>
    <row r="103" spans="3:8">
      <c r="C103" s="134" t="s">
        <v>266</v>
      </c>
      <c r="D103" s="134">
        <v>2005</v>
      </c>
      <c r="E103" s="134" t="s">
        <v>263</v>
      </c>
      <c r="F103" s="134" t="s">
        <v>238</v>
      </c>
      <c r="G103" s="139">
        <v>516692</v>
      </c>
      <c r="H103" s="139"/>
    </row>
    <row r="104" spans="3:8">
      <c r="C104" s="134" t="s">
        <v>266</v>
      </c>
      <c r="D104" s="134">
        <v>2005</v>
      </c>
      <c r="E104" s="134" t="s">
        <v>264</v>
      </c>
      <c r="F104" s="134" t="s">
        <v>238</v>
      </c>
      <c r="G104" s="139">
        <v>539883</v>
      </c>
      <c r="H104" s="139"/>
    </row>
    <row r="105" spans="3:8">
      <c r="C105" s="134" t="s">
        <v>266</v>
      </c>
      <c r="D105" s="134">
        <v>2005</v>
      </c>
      <c r="E105" s="134" t="s">
        <v>259</v>
      </c>
      <c r="F105" s="134" t="s">
        <v>236</v>
      </c>
      <c r="G105" s="139">
        <v>418483</v>
      </c>
      <c r="H105" s="139"/>
    </row>
    <row r="106" spans="3:8">
      <c r="C106" s="134" t="s">
        <v>266</v>
      </c>
      <c r="D106" s="134">
        <v>2005</v>
      </c>
      <c r="E106" s="134" t="s">
        <v>260</v>
      </c>
      <c r="F106" s="134" t="s">
        <v>236</v>
      </c>
      <c r="G106" s="139">
        <v>452955</v>
      </c>
      <c r="H106" s="139"/>
    </row>
    <row r="107" spans="3:8">
      <c r="C107" s="134" t="s">
        <v>266</v>
      </c>
      <c r="D107" s="134">
        <v>2005</v>
      </c>
      <c r="E107" s="134" t="s">
        <v>261</v>
      </c>
      <c r="F107" s="134" t="s">
        <v>236</v>
      </c>
      <c r="G107" s="139">
        <v>432909</v>
      </c>
      <c r="H107" s="139"/>
    </row>
    <row r="108" spans="3:8">
      <c r="C108" s="134" t="s">
        <v>266</v>
      </c>
      <c r="D108" s="134">
        <v>2005</v>
      </c>
      <c r="E108" s="134" t="s">
        <v>262</v>
      </c>
      <c r="F108" s="134" t="s">
        <v>236</v>
      </c>
      <c r="G108" s="139">
        <v>493853</v>
      </c>
      <c r="H108" s="139"/>
    </row>
    <row r="109" spans="3:8">
      <c r="C109" s="134" t="s">
        <v>266</v>
      </c>
      <c r="D109" s="134">
        <v>2005</v>
      </c>
      <c r="E109" s="134" t="s">
        <v>263</v>
      </c>
      <c r="F109" s="134" t="s">
        <v>236</v>
      </c>
      <c r="G109" s="139">
        <v>393368</v>
      </c>
      <c r="H109" s="139"/>
    </row>
    <row r="110" spans="3:8">
      <c r="C110" s="134" t="s">
        <v>266</v>
      </c>
      <c r="D110" s="134">
        <v>2005</v>
      </c>
      <c r="E110" s="134" t="s">
        <v>264</v>
      </c>
      <c r="F110" s="134" t="s">
        <v>236</v>
      </c>
      <c r="G110" s="139">
        <v>405946</v>
      </c>
      <c r="H110" s="139"/>
    </row>
    <row r="111" spans="3:8">
      <c r="C111" s="134" t="s">
        <v>266</v>
      </c>
      <c r="D111" s="134">
        <v>2005</v>
      </c>
      <c r="E111" s="134" t="s">
        <v>259</v>
      </c>
      <c r="F111" s="134" t="s">
        <v>237</v>
      </c>
      <c r="G111" s="139">
        <v>561874</v>
      </c>
      <c r="H111" s="139"/>
    </row>
    <row r="112" spans="3:8">
      <c r="C112" s="134" t="s">
        <v>266</v>
      </c>
      <c r="D112" s="134">
        <v>2005</v>
      </c>
      <c r="E112" s="134" t="s">
        <v>260</v>
      </c>
      <c r="F112" s="134" t="s">
        <v>237</v>
      </c>
      <c r="G112" s="139">
        <v>544747</v>
      </c>
      <c r="H112" s="139"/>
    </row>
    <row r="113" spans="3:8">
      <c r="C113" s="134" t="s">
        <v>266</v>
      </c>
      <c r="D113" s="134">
        <v>2005</v>
      </c>
      <c r="E113" s="134" t="s">
        <v>261</v>
      </c>
      <c r="F113" s="134" t="s">
        <v>237</v>
      </c>
      <c r="G113" s="139">
        <v>470339</v>
      </c>
      <c r="H113" s="139"/>
    </row>
    <row r="114" spans="3:8">
      <c r="C114" s="134" t="s">
        <v>266</v>
      </c>
      <c r="D114" s="134">
        <v>2005</v>
      </c>
      <c r="E114" s="134" t="s">
        <v>262</v>
      </c>
      <c r="F114" s="134" t="s">
        <v>237</v>
      </c>
      <c r="G114" s="139">
        <v>530410</v>
      </c>
      <c r="H114" s="139"/>
    </row>
    <row r="115" spans="3:8">
      <c r="C115" s="134" t="s">
        <v>266</v>
      </c>
      <c r="D115" s="134">
        <v>2005</v>
      </c>
      <c r="E115" s="134" t="s">
        <v>263</v>
      </c>
      <c r="F115" s="134" t="s">
        <v>237</v>
      </c>
      <c r="G115" s="139">
        <v>455378</v>
      </c>
      <c r="H115" s="139"/>
    </row>
    <row r="116" spans="3:8">
      <c r="C116" s="134" t="s">
        <v>266</v>
      </c>
      <c r="D116" s="134">
        <v>2005</v>
      </c>
      <c r="E116" s="134" t="s">
        <v>264</v>
      </c>
      <c r="F116" s="134" t="s">
        <v>237</v>
      </c>
      <c r="G116" s="139">
        <v>668180</v>
      </c>
      <c r="H116" s="139"/>
    </row>
    <row r="117" spans="3:8">
      <c r="C117" s="134" t="s">
        <v>269</v>
      </c>
      <c r="D117" s="134">
        <v>2005</v>
      </c>
      <c r="E117" s="134" t="s">
        <v>259</v>
      </c>
      <c r="F117" s="134" t="s">
        <v>238</v>
      </c>
      <c r="G117" s="139">
        <v>597626</v>
      </c>
      <c r="H117" s="139"/>
    </row>
    <row r="118" spans="3:8">
      <c r="C118" s="134" t="s">
        <v>269</v>
      </c>
      <c r="D118" s="134">
        <v>2005</v>
      </c>
      <c r="E118" s="134" t="s">
        <v>260</v>
      </c>
      <c r="F118" s="134" t="s">
        <v>238</v>
      </c>
      <c r="G118" s="139">
        <v>612909</v>
      </c>
      <c r="H118" s="139"/>
    </row>
    <row r="119" spans="3:8">
      <c r="C119" s="134" t="s">
        <v>269</v>
      </c>
      <c r="D119" s="134">
        <v>2005</v>
      </c>
      <c r="E119" s="134" t="s">
        <v>261</v>
      </c>
      <c r="F119" s="134" t="s">
        <v>238</v>
      </c>
      <c r="G119" s="139">
        <v>585669</v>
      </c>
      <c r="H119" s="139"/>
    </row>
    <row r="120" spans="3:8">
      <c r="C120" s="134" t="s">
        <v>269</v>
      </c>
      <c r="D120" s="134">
        <v>2005</v>
      </c>
      <c r="E120" s="134" t="s">
        <v>262</v>
      </c>
      <c r="F120" s="134" t="s">
        <v>238</v>
      </c>
      <c r="G120" s="139">
        <v>641282</v>
      </c>
      <c r="H120" s="139"/>
    </row>
    <row r="121" spans="3:8">
      <c r="C121" s="134" t="s">
        <v>269</v>
      </c>
      <c r="D121" s="134">
        <v>2005</v>
      </c>
      <c r="E121" s="134" t="s">
        <v>263</v>
      </c>
      <c r="F121" s="134" t="s">
        <v>238</v>
      </c>
      <c r="G121" s="139">
        <v>447013</v>
      </c>
      <c r="H121" s="139"/>
    </row>
    <row r="122" spans="3:8">
      <c r="C122" s="134" t="s">
        <v>269</v>
      </c>
      <c r="D122" s="134">
        <v>2005</v>
      </c>
      <c r="E122" s="134" t="s">
        <v>264</v>
      </c>
      <c r="F122" s="134" t="s">
        <v>238</v>
      </c>
      <c r="G122" s="139">
        <v>476238</v>
      </c>
      <c r="H122" s="139"/>
    </row>
    <row r="123" spans="3:8">
      <c r="C123" s="134" t="s">
        <v>269</v>
      </c>
      <c r="D123" s="134">
        <v>2005</v>
      </c>
      <c r="E123" s="134" t="s">
        <v>259</v>
      </c>
      <c r="F123" s="134" t="s">
        <v>236</v>
      </c>
      <c r="G123" s="139">
        <v>421466</v>
      </c>
      <c r="H123" s="139"/>
    </row>
    <row r="124" spans="3:8">
      <c r="C124" s="134" t="s">
        <v>269</v>
      </c>
      <c r="D124" s="134">
        <v>2005</v>
      </c>
      <c r="E124" s="134" t="s">
        <v>260</v>
      </c>
      <c r="F124" s="134" t="s">
        <v>236</v>
      </c>
      <c r="G124" s="139">
        <v>427983</v>
      </c>
      <c r="H124" s="139"/>
    </row>
    <row r="125" spans="3:8">
      <c r="C125" s="134" t="s">
        <v>269</v>
      </c>
      <c r="D125" s="134">
        <v>2005</v>
      </c>
      <c r="E125" s="134" t="s">
        <v>261</v>
      </c>
      <c r="F125" s="134" t="s">
        <v>236</v>
      </c>
      <c r="G125" s="139">
        <v>429498</v>
      </c>
      <c r="H125" s="139"/>
    </row>
    <row r="126" spans="3:8">
      <c r="C126" s="134" t="s">
        <v>269</v>
      </c>
      <c r="D126" s="134">
        <v>2005</v>
      </c>
      <c r="E126" s="134" t="s">
        <v>262</v>
      </c>
      <c r="F126" s="134" t="s">
        <v>236</v>
      </c>
      <c r="G126" s="139">
        <v>544597</v>
      </c>
      <c r="H126" s="139"/>
    </row>
    <row r="127" spans="3:8">
      <c r="C127" s="134" t="s">
        <v>269</v>
      </c>
      <c r="D127" s="134">
        <v>2005</v>
      </c>
      <c r="E127" s="134" t="s">
        <v>263</v>
      </c>
      <c r="F127" s="134" t="s">
        <v>236</v>
      </c>
      <c r="G127" s="139">
        <v>446014</v>
      </c>
      <c r="H127" s="139"/>
    </row>
    <row r="128" spans="3:8">
      <c r="C128" s="134" t="s">
        <v>269</v>
      </c>
      <c r="D128" s="134">
        <v>2005</v>
      </c>
      <c r="E128" s="134" t="s">
        <v>264</v>
      </c>
      <c r="F128" s="134" t="s">
        <v>236</v>
      </c>
      <c r="G128" s="139">
        <v>487611</v>
      </c>
      <c r="H128" s="139"/>
    </row>
    <row r="129" spans="3:8">
      <c r="C129" s="134" t="s">
        <v>269</v>
      </c>
      <c r="D129" s="134">
        <v>2005</v>
      </c>
      <c r="E129" s="134" t="s">
        <v>259</v>
      </c>
      <c r="F129" s="134" t="s">
        <v>237</v>
      </c>
      <c r="G129" s="139">
        <v>565106</v>
      </c>
      <c r="H129" s="139"/>
    </row>
    <row r="130" spans="3:8">
      <c r="C130" s="134" t="s">
        <v>269</v>
      </c>
      <c r="D130" s="134">
        <v>2005</v>
      </c>
      <c r="E130" s="134" t="s">
        <v>260</v>
      </c>
      <c r="F130" s="134" t="s">
        <v>237</v>
      </c>
      <c r="G130" s="139">
        <v>567487</v>
      </c>
      <c r="H130" s="139"/>
    </row>
    <row r="131" spans="3:8">
      <c r="C131" s="134" t="s">
        <v>269</v>
      </c>
      <c r="D131" s="134">
        <v>2005</v>
      </c>
      <c r="E131" s="134" t="s">
        <v>261</v>
      </c>
      <c r="F131" s="134" t="s">
        <v>237</v>
      </c>
      <c r="G131" s="139">
        <v>538648</v>
      </c>
      <c r="H131" s="139"/>
    </row>
    <row r="132" spans="3:8">
      <c r="C132" s="134" t="s">
        <v>269</v>
      </c>
      <c r="D132" s="134">
        <v>2005</v>
      </c>
      <c r="E132" s="134" t="s">
        <v>262</v>
      </c>
      <c r="F132" s="134" t="s">
        <v>237</v>
      </c>
      <c r="G132" s="139">
        <v>708608</v>
      </c>
      <c r="H132" s="139"/>
    </row>
    <row r="133" spans="3:8">
      <c r="C133" s="134" t="s">
        <v>269</v>
      </c>
      <c r="D133" s="134">
        <v>2005</v>
      </c>
      <c r="E133" s="134" t="s">
        <v>263</v>
      </c>
      <c r="F133" s="134" t="s">
        <v>237</v>
      </c>
      <c r="G133" s="139">
        <v>634104</v>
      </c>
      <c r="H133" s="139"/>
    </row>
    <row r="134" spans="3:8">
      <c r="C134" s="134" t="s">
        <v>269</v>
      </c>
      <c r="D134" s="134">
        <v>2005</v>
      </c>
      <c r="E134" s="134" t="s">
        <v>264</v>
      </c>
      <c r="F134" s="134" t="s">
        <v>237</v>
      </c>
      <c r="G134" s="139">
        <v>522179</v>
      </c>
      <c r="H134" s="139"/>
    </row>
    <row r="135" spans="3:8">
      <c r="C135" s="134" t="s">
        <v>270</v>
      </c>
      <c r="D135" s="134">
        <v>2005</v>
      </c>
      <c r="E135" s="134" t="s">
        <v>259</v>
      </c>
      <c r="F135" s="134" t="s">
        <v>238</v>
      </c>
      <c r="G135" s="137">
        <v>511406</v>
      </c>
      <c r="H135" s="139"/>
    </row>
    <row r="136" spans="3:8">
      <c r="C136" s="134" t="s">
        <v>270</v>
      </c>
      <c r="D136" s="134">
        <v>2005</v>
      </c>
      <c r="E136" s="134" t="s">
        <v>260</v>
      </c>
      <c r="F136" s="134" t="s">
        <v>238</v>
      </c>
      <c r="G136" s="137">
        <v>487020</v>
      </c>
      <c r="H136" s="139"/>
    </row>
    <row r="137" spans="3:8">
      <c r="C137" s="134" t="s">
        <v>270</v>
      </c>
      <c r="D137" s="134">
        <v>2005</v>
      </c>
      <c r="E137" s="134" t="s">
        <v>261</v>
      </c>
      <c r="F137" s="134" t="s">
        <v>238</v>
      </c>
      <c r="G137" s="137">
        <v>563504</v>
      </c>
      <c r="H137" s="139"/>
    </row>
    <row r="138" spans="3:8">
      <c r="C138" s="134" t="s">
        <v>270</v>
      </c>
      <c r="D138" s="134">
        <v>2005</v>
      </c>
      <c r="E138" s="134" t="s">
        <v>262</v>
      </c>
      <c r="F138" s="134" t="s">
        <v>238</v>
      </c>
      <c r="G138" s="137">
        <v>565428</v>
      </c>
      <c r="H138" s="139"/>
    </row>
    <row r="139" spans="3:8">
      <c r="C139" s="134" t="s">
        <v>270</v>
      </c>
      <c r="D139" s="134">
        <v>2005</v>
      </c>
      <c r="E139" s="134" t="s">
        <v>263</v>
      </c>
      <c r="F139" s="134" t="s">
        <v>238</v>
      </c>
      <c r="G139" s="137">
        <v>380743</v>
      </c>
      <c r="H139" s="139"/>
    </row>
    <row r="140" spans="3:8">
      <c r="C140" s="134" t="s">
        <v>270</v>
      </c>
      <c r="D140" s="134">
        <v>2005</v>
      </c>
      <c r="E140" s="134" t="s">
        <v>264</v>
      </c>
      <c r="F140" s="134" t="s">
        <v>238</v>
      </c>
      <c r="G140" s="137">
        <v>351971</v>
      </c>
      <c r="H140" s="139"/>
    </row>
    <row r="141" spans="3:8">
      <c r="C141" s="134" t="s">
        <v>270</v>
      </c>
      <c r="D141" s="134">
        <v>2005</v>
      </c>
      <c r="E141" s="134" t="s">
        <v>259</v>
      </c>
      <c r="F141" s="134" t="s">
        <v>236</v>
      </c>
      <c r="G141" s="138">
        <v>388646</v>
      </c>
      <c r="H141" s="139"/>
    </row>
    <row r="142" spans="3:8">
      <c r="C142" s="134" t="s">
        <v>270</v>
      </c>
      <c r="D142" s="134">
        <v>2005</v>
      </c>
      <c r="E142" s="134" t="s">
        <v>260</v>
      </c>
      <c r="F142" s="134" t="s">
        <v>236</v>
      </c>
      <c r="G142" s="138">
        <v>337401</v>
      </c>
      <c r="H142" s="139"/>
    </row>
    <row r="143" spans="3:8">
      <c r="C143" s="134" t="s">
        <v>270</v>
      </c>
      <c r="D143" s="134">
        <v>2005</v>
      </c>
      <c r="E143" s="134" t="s">
        <v>261</v>
      </c>
      <c r="F143" s="134" t="s">
        <v>236</v>
      </c>
      <c r="G143" s="138">
        <v>441713</v>
      </c>
      <c r="H143" s="139"/>
    </row>
    <row r="144" spans="3:8">
      <c r="C144" s="134" t="s">
        <v>270</v>
      </c>
      <c r="D144" s="134">
        <v>2005</v>
      </c>
      <c r="E144" s="134" t="s">
        <v>262</v>
      </c>
      <c r="F144" s="134" t="s">
        <v>236</v>
      </c>
      <c r="G144" s="138">
        <v>438764</v>
      </c>
      <c r="H144" s="139"/>
    </row>
    <row r="145" spans="3:8">
      <c r="C145" s="134" t="s">
        <v>270</v>
      </c>
      <c r="D145" s="134">
        <v>2005</v>
      </c>
      <c r="E145" s="134" t="s">
        <v>263</v>
      </c>
      <c r="F145" s="134" t="s">
        <v>236</v>
      </c>
      <c r="G145" s="138">
        <v>378201</v>
      </c>
      <c r="H145" s="139"/>
    </row>
    <row r="146" spans="3:8">
      <c r="C146" s="134" t="s">
        <v>270</v>
      </c>
      <c r="D146" s="134">
        <v>2005</v>
      </c>
      <c r="E146" s="134" t="s">
        <v>264</v>
      </c>
      <c r="F146" s="134" t="s">
        <v>236</v>
      </c>
      <c r="G146" s="138">
        <v>413519</v>
      </c>
      <c r="H146" s="139"/>
    </row>
    <row r="147" spans="3:8">
      <c r="C147" s="134" t="s">
        <v>270</v>
      </c>
      <c r="D147" s="134">
        <v>2005</v>
      </c>
      <c r="E147" s="134" t="s">
        <v>259</v>
      </c>
      <c r="F147" s="134" t="s">
        <v>237</v>
      </c>
      <c r="G147" s="137">
        <v>516512</v>
      </c>
      <c r="H147" s="139"/>
    </row>
    <row r="148" spans="3:8">
      <c r="C148" s="134" t="s">
        <v>270</v>
      </c>
      <c r="D148" s="134">
        <v>2005</v>
      </c>
      <c r="E148" s="134" t="s">
        <v>260</v>
      </c>
      <c r="F148" s="134" t="s">
        <v>237</v>
      </c>
      <c r="G148" s="137">
        <v>494282</v>
      </c>
      <c r="H148" s="139"/>
    </row>
    <row r="149" spans="3:8">
      <c r="C149" s="134" t="s">
        <v>270</v>
      </c>
      <c r="D149" s="134">
        <v>2005</v>
      </c>
      <c r="E149" s="134" t="s">
        <v>261</v>
      </c>
      <c r="F149" s="134" t="s">
        <v>237</v>
      </c>
      <c r="G149" s="137">
        <v>538958</v>
      </c>
      <c r="H149" s="139"/>
    </row>
    <row r="150" spans="3:8">
      <c r="C150" s="134" t="s">
        <v>270</v>
      </c>
      <c r="D150" s="134">
        <v>2005</v>
      </c>
      <c r="E150" s="134" t="s">
        <v>262</v>
      </c>
      <c r="F150" s="134" t="s">
        <v>237</v>
      </c>
      <c r="G150" s="137">
        <v>502214</v>
      </c>
      <c r="H150" s="139"/>
    </row>
    <row r="151" spans="3:8">
      <c r="C151" s="134" t="s">
        <v>270</v>
      </c>
      <c r="D151" s="134">
        <v>2005</v>
      </c>
      <c r="E151" s="134" t="s">
        <v>263</v>
      </c>
      <c r="F151" s="134" t="s">
        <v>237</v>
      </c>
      <c r="G151" s="137">
        <v>539525</v>
      </c>
      <c r="H151" s="139"/>
    </row>
    <row r="152" spans="3:8">
      <c r="C152" s="134" t="s">
        <v>270</v>
      </c>
      <c r="D152" s="134">
        <v>2005</v>
      </c>
      <c r="E152" s="134" t="s">
        <v>264</v>
      </c>
      <c r="F152" s="134" t="s">
        <v>237</v>
      </c>
      <c r="G152" s="137">
        <v>517806</v>
      </c>
      <c r="H152" s="139"/>
    </row>
    <row r="153" spans="3:8">
      <c r="C153" s="134" t="s">
        <v>258</v>
      </c>
      <c r="D153" s="134">
        <v>2006</v>
      </c>
      <c r="E153" s="134" t="s">
        <v>259</v>
      </c>
      <c r="F153" s="134" t="s">
        <v>238</v>
      </c>
      <c r="G153" s="137">
        <v>625097</v>
      </c>
      <c r="H153" s="139"/>
    </row>
    <row r="154" spans="3:8">
      <c r="C154" s="134" t="s">
        <v>258</v>
      </c>
      <c r="D154" s="134">
        <v>2006</v>
      </c>
      <c r="E154" s="134" t="s">
        <v>260</v>
      </c>
      <c r="F154" s="134" t="s">
        <v>238</v>
      </c>
      <c r="G154" s="137">
        <v>632542</v>
      </c>
      <c r="H154" s="139"/>
    </row>
    <row r="155" spans="3:8">
      <c r="C155" s="134" t="s">
        <v>258</v>
      </c>
      <c r="D155" s="134">
        <v>2006</v>
      </c>
      <c r="E155" s="134" t="s">
        <v>261</v>
      </c>
      <c r="F155" s="134" t="s">
        <v>238</v>
      </c>
      <c r="G155" s="137">
        <v>565957</v>
      </c>
      <c r="H155" s="139"/>
    </row>
    <row r="156" spans="3:8">
      <c r="C156" s="134" t="s">
        <v>258</v>
      </c>
      <c r="D156" s="134">
        <v>2006</v>
      </c>
      <c r="E156" s="134" t="s">
        <v>262</v>
      </c>
      <c r="F156" s="134" t="s">
        <v>238</v>
      </c>
      <c r="G156" s="137">
        <v>609354</v>
      </c>
      <c r="H156" s="139"/>
    </row>
    <row r="157" spans="3:8">
      <c r="C157" s="134" t="s">
        <v>258</v>
      </c>
      <c r="D157" s="134">
        <v>2006</v>
      </c>
      <c r="E157" s="134" t="s">
        <v>263</v>
      </c>
      <c r="F157" s="134" t="s">
        <v>238</v>
      </c>
      <c r="G157" s="137">
        <v>501393</v>
      </c>
      <c r="H157" s="139"/>
    </row>
    <row r="158" spans="3:8">
      <c r="C158" s="134" t="s">
        <v>258</v>
      </c>
      <c r="D158" s="134">
        <v>2006</v>
      </c>
      <c r="E158" s="134" t="s">
        <v>264</v>
      </c>
      <c r="F158" s="134" t="s">
        <v>238</v>
      </c>
      <c r="G158" s="137">
        <v>461281</v>
      </c>
      <c r="H158" s="139"/>
    </row>
    <row r="159" spans="3:8">
      <c r="C159" s="134" t="s">
        <v>258</v>
      </c>
      <c r="D159" s="134">
        <v>2006</v>
      </c>
      <c r="E159" s="134" t="s">
        <v>259</v>
      </c>
      <c r="F159" s="134" t="s">
        <v>236</v>
      </c>
      <c r="G159" s="138">
        <v>476654</v>
      </c>
      <c r="H159" s="139"/>
    </row>
    <row r="160" spans="3:8">
      <c r="C160" s="134" t="s">
        <v>258</v>
      </c>
      <c r="D160" s="134">
        <v>2006</v>
      </c>
      <c r="E160" s="134" t="s">
        <v>260</v>
      </c>
      <c r="F160" s="134" t="s">
        <v>236</v>
      </c>
      <c r="G160" s="138">
        <v>405717</v>
      </c>
      <c r="H160" s="139"/>
    </row>
    <row r="161" spans="3:8">
      <c r="C161" s="134" t="s">
        <v>258</v>
      </c>
      <c r="D161" s="134">
        <v>2006</v>
      </c>
      <c r="E161" s="134" t="s">
        <v>261</v>
      </c>
      <c r="F161" s="134" t="s">
        <v>236</v>
      </c>
      <c r="G161" s="138">
        <v>407780</v>
      </c>
      <c r="H161" s="139"/>
    </row>
    <row r="162" spans="3:8">
      <c r="C162" s="134" t="s">
        <v>258</v>
      </c>
      <c r="D162" s="134">
        <v>2006</v>
      </c>
      <c r="E162" s="134" t="s">
        <v>262</v>
      </c>
      <c r="F162" s="134" t="s">
        <v>236</v>
      </c>
      <c r="G162" s="138">
        <v>462903</v>
      </c>
      <c r="H162" s="139"/>
    </row>
    <row r="163" spans="3:8">
      <c r="C163" s="134" t="s">
        <v>258</v>
      </c>
      <c r="D163" s="134">
        <v>2006</v>
      </c>
      <c r="E163" s="134" t="s">
        <v>263</v>
      </c>
      <c r="F163" s="134" t="s">
        <v>236</v>
      </c>
      <c r="G163" s="138">
        <v>460030</v>
      </c>
      <c r="H163" s="139"/>
    </row>
    <row r="164" spans="3:8">
      <c r="C164" s="134" t="s">
        <v>258</v>
      </c>
      <c r="D164" s="134">
        <v>2006</v>
      </c>
      <c r="E164" s="134" t="s">
        <v>264</v>
      </c>
      <c r="F164" s="134" t="s">
        <v>236</v>
      </c>
      <c r="G164" s="138">
        <v>463982</v>
      </c>
      <c r="H164" s="139"/>
    </row>
    <row r="165" spans="3:8">
      <c r="C165" s="134" t="s">
        <v>258</v>
      </c>
      <c r="D165" s="134">
        <v>2006</v>
      </c>
      <c r="E165" s="134" t="s">
        <v>259</v>
      </c>
      <c r="F165" s="134" t="s">
        <v>237</v>
      </c>
      <c r="G165" s="137">
        <v>622573</v>
      </c>
      <c r="H165" s="139"/>
    </row>
    <row r="166" spans="3:8">
      <c r="C166" s="134" t="s">
        <v>258</v>
      </c>
      <c r="D166" s="134">
        <v>2006</v>
      </c>
      <c r="E166" s="134" t="s">
        <v>260</v>
      </c>
      <c r="F166" s="134" t="s">
        <v>237</v>
      </c>
      <c r="G166" s="137">
        <v>578387</v>
      </c>
      <c r="H166" s="139"/>
    </row>
    <row r="167" spans="3:8">
      <c r="C167" s="134" t="s">
        <v>258</v>
      </c>
      <c r="D167" s="134">
        <v>2006</v>
      </c>
      <c r="E167" s="134" t="s">
        <v>261</v>
      </c>
      <c r="F167" s="134" t="s">
        <v>237</v>
      </c>
      <c r="G167" s="137">
        <v>579998</v>
      </c>
      <c r="H167" s="139"/>
    </row>
    <row r="168" spans="3:8">
      <c r="C168" s="134" t="s">
        <v>258</v>
      </c>
      <c r="D168" s="134">
        <v>2006</v>
      </c>
      <c r="E168" s="134" t="s">
        <v>262</v>
      </c>
      <c r="F168" s="134" t="s">
        <v>237</v>
      </c>
      <c r="G168" s="137">
        <v>594253</v>
      </c>
      <c r="H168" s="139"/>
    </row>
    <row r="169" spans="3:8">
      <c r="C169" s="134" t="s">
        <v>258</v>
      </c>
      <c r="D169" s="134">
        <v>2006</v>
      </c>
      <c r="E169" s="134" t="s">
        <v>263</v>
      </c>
      <c r="F169" s="134" t="s">
        <v>237</v>
      </c>
      <c r="G169" s="137">
        <v>473198</v>
      </c>
      <c r="H169" s="139"/>
    </row>
    <row r="170" spans="3:8">
      <c r="C170" s="134" t="s">
        <v>258</v>
      </c>
      <c r="D170" s="134">
        <v>2006</v>
      </c>
      <c r="E170" s="134" t="s">
        <v>264</v>
      </c>
      <c r="F170" s="134" t="s">
        <v>237</v>
      </c>
      <c r="G170" s="137">
        <v>601406</v>
      </c>
      <c r="H170" s="139"/>
    </row>
    <row r="171" spans="3:8">
      <c r="C171" s="134" t="s">
        <v>266</v>
      </c>
      <c r="D171" s="134">
        <v>2006</v>
      </c>
      <c r="E171" s="134" t="s">
        <v>259</v>
      </c>
      <c r="F171" s="134" t="s">
        <v>238</v>
      </c>
      <c r="G171" s="137">
        <v>616561</v>
      </c>
      <c r="H171" s="139"/>
    </row>
    <row r="172" spans="3:8">
      <c r="C172" s="134" t="s">
        <v>266</v>
      </c>
      <c r="D172" s="134">
        <v>2006</v>
      </c>
      <c r="E172" s="134" t="s">
        <v>260</v>
      </c>
      <c r="F172" s="134" t="s">
        <v>238</v>
      </c>
      <c r="G172" s="137">
        <v>559403</v>
      </c>
      <c r="H172" s="139"/>
    </row>
    <row r="173" spans="3:8">
      <c r="C173" s="134" t="s">
        <v>266</v>
      </c>
      <c r="D173" s="134">
        <v>2006</v>
      </c>
      <c r="E173" s="134" t="s">
        <v>261</v>
      </c>
      <c r="F173" s="134" t="s">
        <v>238</v>
      </c>
      <c r="G173" s="137">
        <v>597369</v>
      </c>
      <c r="H173" s="139"/>
    </row>
    <row r="174" spans="3:8">
      <c r="C174" s="134" t="s">
        <v>266</v>
      </c>
      <c r="D174" s="134">
        <v>2006</v>
      </c>
      <c r="E174" s="134" t="s">
        <v>262</v>
      </c>
      <c r="F174" s="134" t="s">
        <v>238</v>
      </c>
      <c r="G174" s="137">
        <v>709122</v>
      </c>
      <c r="H174" s="139"/>
    </row>
    <row r="175" spans="3:8">
      <c r="C175" s="134" t="s">
        <v>266</v>
      </c>
      <c r="D175" s="134">
        <v>2006</v>
      </c>
      <c r="E175" s="134" t="s">
        <v>263</v>
      </c>
      <c r="F175" s="134" t="s">
        <v>238</v>
      </c>
      <c r="G175" s="137">
        <v>462316</v>
      </c>
      <c r="H175" s="139"/>
    </row>
    <row r="176" spans="3:8">
      <c r="C176" s="134" t="s">
        <v>266</v>
      </c>
      <c r="D176" s="134">
        <v>2006</v>
      </c>
      <c r="E176" s="134" t="s">
        <v>264</v>
      </c>
      <c r="F176" s="134" t="s">
        <v>238</v>
      </c>
      <c r="G176" s="137">
        <v>466554</v>
      </c>
      <c r="H176" s="139"/>
    </row>
    <row r="177" spans="3:8">
      <c r="C177" s="134" t="s">
        <v>266</v>
      </c>
      <c r="D177" s="134">
        <v>2006</v>
      </c>
      <c r="E177" s="134" t="s">
        <v>259</v>
      </c>
      <c r="F177" s="134" t="s">
        <v>236</v>
      </c>
      <c r="G177" s="138">
        <v>380338</v>
      </c>
      <c r="H177" s="139"/>
    </row>
    <row r="178" spans="3:8">
      <c r="C178" s="134" t="s">
        <v>266</v>
      </c>
      <c r="D178" s="134">
        <v>2006</v>
      </c>
      <c r="E178" s="134" t="s">
        <v>260</v>
      </c>
      <c r="F178" s="134" t="s">
        <v>236</v>
      </c>
      <c r="G178" s="138">
        <v>406420</v>
      </c>
      <c r="H178" s="139"/>
    </row>
    <row r="179" spans="3:8">
      <c r="C179" s="134" t="s">
        <v>266</v>
      </c>
      <c r="D179" s="134">
        <v>2006</v>
      </c>
      <c r="E179" s="134" t="s">
        <v>261</v>
      </c>
      <c r="F179" s="134" t="s">
        <v>236</v>
      </c>
      <c r="G179" s="138">
        <v>422373</v>
      </c>
      <c r="H179" s="139"/>
    </row>
    <row r="180" spans="3:8">
      <c r="C180" s="134" t="s">
        <v>266</v>
      </c>
      <c r="D180" s="134">
        <v>2006</v>
      </c>
      <c r="E180" s="134" t="s">
        <v>262</v>
      </c>
      <c r="F180" s="134" t="s">
        <v>236</v>
      </c>
      <c r="G180" s="138">
        <v>385923</v>
      </c>
      <c r="H180" s="139"/>
    </row>
    <row r="181" spans="3:8">
      <c r="C181" s="134" t="s">
        <v>266</v>
      </c>
      <c r="D181" s="134">
        <v>2006</v>
      </c>
      <c r="E181" s="134" t="s">
        <v>263</v>
      </c>
      <c r="F181" s="134" t="s">
        <v>236</v>
      </c>
      <c r="G181" s="138">
        <v>474148</v>
      </c>
      <c r="H181" s="139"/>
    </row>
    <row r="182" spans="3:8">
      <c r="C182" s="134" t="s">
        <v>266</v>
      </c>
      <c r="D182" s="134">
        <v>2006</v>
      </c>
      <c r="E182" s="134" t="s">
        <v>264</v>
      </c>
      <c r="F182" s="134" t="s">
        <v>236</v>
      </c>
      <c r="G182" s="138">
        <v>438409</v>
      </c>
      <c r="H182" s="139"/>
    </row>
    <row r="183" spans="3:8">
      <c r="C183" s="134" t="s">
        <v>266</v>
      </c>
      <c r="D183" s="134">
        <v>2006</v>
      </c>
      <c r="E183" s="134" t="s">
        <v>259</v>
      </c>
      <c r="F183" s="134" t="s">
        <v>237</v>
      </c>
      <c r="G183" s="137">
        <v>554317</v>
      </c>
      <c r="H183" s="139"/>
    </row>
    <row r="184" spans="3:8">
      <c r="C184" s="134" t="s">
        <v>266</v>
      </c>
      <c r="D184" s="134">
        <v>2006</v>
      </c>
      <c r="E184" s="134" t="s">
        <v>260</v>
      </c>
      <c r="F184" s="134" t="s">
        <v>237</v>
      </c>
      <c r="G184" s="137">
        <v>609069</v>
      </c>
      <c r="H184" s="139"/>
    </row>
    <row r="185" spans="3:8">
      <c r="C185" s="134" t="s">
        <v>266</v>
      </c>
      <c r="D185" s="134">
        <v>2006</v>
      </c>
      <c r="E185" s="134" t="s">
        <v>261</v>
      </c>
      <c r="F185" s="134" t="s">
        <v>237</v>
      </c>
      <c r="G185" s="137">
        <v>563406</v>
      </c>
      <c r="H185" s="139"/>
    </row>
    <row r="186" spans="3:8">
      <c r="C186" s="134" t="s">
        <v>266</v>
      </c>
      <c r="D186" s="134">
        <v>2006</v>
      </c>
      <c r="E186" s="134" t="s">
        <v>262</v>
      </c>
      <c r="F186" s="134" t="s">
        <v>237</v>
      </c>
      <c r="G186" s="137">
        <v>606490</v>
      </c>
      <c r="H186" s="139"/>
    </row>
    <row r="187" spans="3:8">
      <c r="C187" s="134" t="s">
        <v>266</v>
      </c>
      <c r="D187" s="134">
        <v>2006</v>
      </c>
      <c r="E187" s="134" t="s">
        <v>263</v>
      </c>
      <c r="F187" s="134" t="s">
        <v>237</v>
      </c>
      <c r="G187" s="137">
        <v>564560</v>
      </c>
      <c r="H187" s="139"/>
    </row>
    <row r="188" spans="3:8">
      <c r="C188" s="134" t="s">
        <v>266</v>
      </c>
      <c r="D188" s="134">
        <v>2006</v>
      </c>
      <c r="E188" s="134" t="s">
        <v>264</v>
      </c>
      <c r="F188" s="134" t="s">
        <v>237</v>
      </c>
      <c r="G188" s="137">
        <v>600194</v>
      </c>
      <c r="H188" s="139"/>
    </row>
    <row r="189" spans="3:8">
      <c r="C189" s="134" t="s">
        <v>269</v>
      </c>
      <c r="D189" s="134">
        <v>2006</v>
      </c>
      <c r="E189" s="134" t="s">
        <v>259</v>
      </c>
      <c r="F189" s="134" t="s">
        <v>238</v>
      </c>
      <c r="G189" s="137">
        <v>549802</v>
      </c>
      <c r="H189" s="139"/>
    </row>
    <row r="190" spans="3:8">
      <c r="C190" s="134" t="s">
        <v>269</v>
      </c>
      <c r="D190" s="134">
        <v>2006</v>
      </c>
      <c r="E190" s="134" t="s">
        <v>260</v>
      </c>
      <c r="F190" s="134" t="s">
        <v>238</v>
      </c>
      <c r="G190" s="137">
        <v>493119</v>
      </c>
      <c r="H190" s="139"/>
    </row>
    <row r="191" spans="3:8">
      <c r="C191" s="134" t="s">
        <v>269</v>
      </c>
      <c r="D191" s="134">
        <v>2006</v>
      </c>
      <c r="E191" s="134" t="s">
        <v>261</v>
      </c>
      <c r="F191" s="134" t="s">
        <v>238</v>
      </c>
      <c r="G191" s="137">
        <v>576355</v>
      </c>
      <c r="H191" s="139"/>
    </row>
    <row r="192" spans="3:8">
      <c r="C192" s="134" t="s">
        <v>269</v>
      </c>
      <c r="D192" s="134">
        <v>2006</v>
      </c>
      <c r="E192" s="134" t="s">
        <v>262</v>
      </c>
      <c r="F192" s="134" t="s">
        <v>238</v>
      </c>
      <c r="G192" s="137">
        <v>670233</v>
      </c>
      <c r="H192" s="139"/>
    </row>
    <row r="193" spans="3:8">
      <c r="C193" s="134" t="s">
        <v>269</v>
      </c>
      <c r="D193" s="134">
        <v>2006</v>
      </c>
      <c r="E193" s="134" t="s">
        <v>263</v>
      </c>
      <c r="F193" s="134" t="s">
        <v>238</v>
      </c>
      <c r="G193" s="137">
        <v>524001</v>
      </c>
      <c r="H193" s="139"/>
    </row>
    <row r="194" spans="3:8">
      <c r="C194" s="134" t="s">
        <v>269</v>
      </c>
      <c r="D194" s="134">
        <v>2006</v>
      </c>
      <c r="E194" s="134" t="s">
        <v>264</v>
      </c>
      <c r="F194" s="134" t="s">
        <v>238</v>
      </c>
      <c r="G194" s="137">
        <v>527703</v>
      </c>
      <c r="H194" s="139"/>
    </row>
    <row r="195" spans="3:8">
      <c r="C195" s="134" t="s">
        <v>269</v>
      </c>
      <c r="D195" s="134">
        <v>2006</v>
      </c>
      <c r="E195" s="134" t="s">
        <v>259</v>
      </c>
      <c r="F195" s="134" t="s">
        <v>236</v>
      </c>
      <c r="G195" s="138">
        <v>355197</v>
      </c>
      <c r="H195" s="139"/>
    </row>
    <row r="196" spans="3:8">
      <c r="C196" s="134" t="s">
        <v>269</v>
      </c>
      <c r="D196" s="134">
        <v>2006</v>
      </c>
      <c r="E196" s="134" t="s">
        <v>260</v>
      </c>
      <c r="F196" s="134" t="s">
        <v>236</v>
      </c>
      <c r="G196" s="138">
        <v>420947</v>
      </c>
      <c r="H196" s="139"/>
    </row>
    <row r="197" spans="3:8">
      <c r="C197" s="134" t="s">
        <v>269</v>
      </c>
      <c r="D197" s="134">
        <v>2006</v>
      </c>
      <c r="E197" s="134" t="s">
        <v>261</v>
      </c>
      <c r="F197" s="134" t="s">
        <v>236</v>
      </c>
      <c r="G197" s="138">
        <v>423393</v>
      </c>
      <c r="H197" s="139"/>
    </row>
    <row r="198" spans="3:8">
      <c r="C198" s="134" t="s">
        <v>269</v>
      </c>
      <c r="D198" s="134">
        <v>2006</v>
      </c>
      <c r="E198" s="134" t="s">
        <v>262</v>
      </c>
      <c r="F198" s="134" t="s">
        <v>236</v>
      </c>
      <c r="G198" s="138">
        <v>547726</v>
      </c>
      <c r="H198" s="139"/>
    </row>
    <row r="199" spans="3:8">
      <c r="C199" s="134" t="s">
        <v>269</v>
      </c>
      <c r="D199" s="134">
        <v>2006</v>
      </c>
      <c r="E199" s="134" t="s">
        <v>263</v>
      </c>
      <c r="F199" s="134" t="s">
        <v>236</v>
      </c>
      <c r="G199" s="138">
        <v>478507</v>
      </c>
      <c r="H199" s="139"/>
    </row>
    <row r="200" spans="3:8">
      <c r="C200" s="134" t="s">
        <v>269</v>
      </c>
      <c r="D200" s="134">
        <v>2006</v>
      </c>
      <c r="E200" s="134" t="s">
        <v>264</v>
      </c>
      <c r="F200" s="134" t="s">
        <v>236</v>
      </c>
      <c r="G200" s="138">
        <v>425549</v>
      </c>
      <c r="H200" s="139"/>
    </row>
    <row r="201" spans="3:8">
      <c r="C201" s="134" t="s">
        <v>269</v>
      </c>
      <c r="D201" s="134">
        <v>2006</v>
      </c>
      <c r="E201" s="134" t="s">
        <v>259</v>
      </c>
      <c r="F201" s="134" t="s">
        <v>237</v>
      </c>
      <c r="G201" s="137">
        <v>618631</v>
      </c>
      <c r="H201" s="139"/>
    </row>
    <row r="202" spans="3:8">
      <c r="C202" s="134" t="s">
        <v>269</v>
      </c>
      <c r="D202" s="134">
        <v>2006</v>
      </c>
      <c r="E202" s="134" t="s">
        <v>260</v>
      </c>
      <c r="F202" s="134" t="s">
        <v>237</v>
      </c>
      <c r="G202" s="137">
        <v>593074</v>
      </c>
      <c r="H202" s="139"/>
    </row>
    <row r="203" spans="3:8">
      <c r="C203" s="134" t="s">
        <v>269</v>
      </c>
      <c r="D203" s="134">
        <v>2006</v>
      </c>
      <c r="E203" s="134" t="s">
        <v>261</v>
      </c>
      <c r="F203" s="134" t="s">
        <v>237</v>
      </c>
      <c r="G203" s="137">
        <v>708115</v>
      </c>
      <c r="H203" s="139"/>
    </row>
    <row r="204" spans="3:8">
      <c r="C204" s="134" t="s">
        <v>269</v>
      </c>
      <c r="D204" s="134">
        <v>2006</v>
      </c>
      <c r="E204" s="134" t="s">
        <v>262</v>
      </c>
      <c r="F204" s="134" t="s">
        <v>237</v>
      </c>
      <c r="G204" s="137">
        <v>657230</v>
      </c>
      <c r="H204" s="139"/>
    </row>
    <row r="205" spans="3:8">
      <c r="C205" s="134" t="s">
        <v>269</v>
      </c>
      <c r="D205" s="134">
        <v>2006</v>
      </c>
      <c r="E205" s="134" t="s">
        <v>263</v>
      </c>
      <c r="F205" s="134" t="s">
        <v>237</v>
      </c>
      <c r="G205" s="137">
        <v>636020</v>
      </c>
      <c r="H205" s="139"/>
    </row>
    <row r="206" spans="3:8">
      <c r="C206" s="134" t="s">
        <v>269</v>
      </c>
      <c r="D206" s="134">
        <v>2006</v>
      </c>
      <c r="E206" s="134" t="s">
        <v>264</v>
      </c>
      <c r="F206" s="134" t="s">
        <v>237</v>
      </c>
      <c r="G206" s="137">
        <v>648918</v>
      </c>
      <c r="H206" s="139"/>
    </row>
    <row r="207" spans="3:8">
      <c r="C207" s="134" t="s">
        <v>270</v>
      </c>
      <c r="D207" s="134">
        <v>2006</v>
      </c>
      <c r="E207" s="134" t="s">
        <v>259</v>
      </c>
      <c r="F207" s="134" t="s">
        <v>238</v>
      </c>
      <c r="G207" s="137">
        <v>508848</v>
      </c>
    </row>
    <row r="208" spans="3:8">
      <c r="C208" s="134" t="s">
        <v>270</v>
      </c>
      <c r="D208" s="134">
        <v>2006</v>
      </c>
      <c r="E208" s="134" t="s">
        <v>260</v>
      </c>
      <c r="F208" s="134" t="s">
        <v>238</v>
      </c>
      <c r="G208" s="137">
        <v>522433</v>
      </c>
    </row>
    <row r="209" spans="3:7">
      <c r="C209" s="134" t="s">
        <v>270</v>
      </c>
      <c r="D209" s="134">
        <v>2006</v>
      </c>
      <c r="E209" s="134" t="s">
        <v>261</v>
      </c>
      <c r="F209" s="134" t="s">
        <v>238</v>
      </c>
      <c r="G209" s="137">
        <v>526729</v>
      </c>
    </row>
    <row r="210" spans="3:7">
      <c r="C210" s="134" t="s">
        <v>270</v>
      </c>
      <c r="D210" s="134">
        <v>2006</v>
      </c>
      <c r="E210" s="134" t="s">
        <v>262</v>
      </c>
      <c r="F210" s="134" t="s">
        <v>238</v>
      </c>
      <c r="G210" s="137">
        <v>504010</v>
      </c>
    </row>
    <row r="211" spans="3:7">
      <c r="C211" s="134" t="s">
        <v>270</v>
      </c>
      <c r="D211" s="134">
        <v>2006</v>
      </c>
      <c r="E211" s="134" t="s">
        <v>263</v>
      </c>
      <c r="F211" s="134" t="s">
        <v>238</v>
      </c>
      <c r="G211" s="137">
        <v>426401</v>
      </c>
    </row>
    <row r="212" spans="3:7">
      <c r="C212" s="134" t="s">
        <v>270</v>
      </c>
      <c r="D212" s="134">
        <v>2006</v>
      </c>
      <c r="E212" s="134" t="s">
        <v>264</v>
      </c>
      <c r="F212" s="134" t="s">
        <v>238</v>
      </c>
      <c r="G212" s="137">
        <v>430903</v>
      </c>
    </row>
    <row r="213" spans="3:7">
      <c r="C213" s="134" t="s">
        <v>270</v>
      </c>
      <c r="D213" s="134">
        <v>2006</v>
      </c>
      <c r="E213" s="134" t="s">
        <v>259</v>
      </c>
      <c r="F213" s="134" t="s">
        <v>236</v>
      </c>
      <c r="G213" s="138">
        <v>319614</v>
      </c>
    </row>
    <row r="214" spans="3:7">
      <c r="C214" s="134" t="s">
        <v>270</v>
      </c>
      <c r="D214" s="134">
        <v>2006</v>
      </c>
      <c r="E214" s="134" t="s">
        <v>260</v>
      </c>
      <c r="F214" s="134" t="s">
        <v>236</v>
      </c>
      <c r="G214" s="138">
        <v>417155</v>
      </c>
    </row>
    <row r="215" spans="3:7">
      <c r="C215" s="134" t="s">
        <v>270</v>
      </c>
      <c r="D215" s="134">
        <v>2006</v>
      </c>
      <c r="E215" s="134" t="s">
        <v>261</v>
      </c>
      <c r="F215" s="134" t="s">
        <v>236</v>
      </c>
      <c r="G215" s="138">
        <v>395381</v>
      </c>
    </row>
    <row r="216" spans="3:7">
      <c r="C216" s="134" t="s">
        <v>270</v>
      </c>
      <c r="D216" s="134">
        <v>2006</v>
      </c>
      <c r="E216" s="134" t="s">
        <v>262</v>
      </c>
      <c r="F216" s="134" t="s">
        <v>236</v>
      </c>
      <c r="G216" s="138">
        <v>385921</v>
      </c>
    </row>
    <row r="217" spans="3:7">
      <c r="C217" s="134" t="s">
        <v>270</v>
      </c>
      <c r="D217" s="134">
        <v>2006</v>
      </c>
      <c r="E217" s="134" t="s">
        <v>263</v>
      </c>
      <c r="F217" s="134" t="s">
        <v>236</v>
      </c>
      <c r="G217" s="138">
        <v>349157</v>
      </c>
    </row>
    <row r="218" spans="3:7">
      <c r="C218" s="134" t="s">
        <v>270</v>
      </c>
      <c r="D218" s="134">
        <v>2006</v>
      </c>
      <c r="E218" s="134" t="s">
        <v>264</v>
      </c>
      <c r="F218" s="134" t="s">
        <v>236</v>
      </c>
      <c r="G218" s="138">
        <v>375737</v>
      </c>
    </row>
    <row r="219" spans="3:7">
      <c r="C219" s="134" t="s">
        <v>270</v>
      </c>
      <c r="D219" s="134">
        <v>2006</v>
      </c>
      <c r="E219" s="134" t="s">
        <v>259</v>
      </c>
      <c r="F219" s="134" t="s">
        <v>237</v>
      </c>
      <c r="G219" s="137">
        <v>528322</v>
      </c>
    </row>
    <row r="220" spans="3:7">
      <c r="C220" s="134" t="s">
        <v>270</v>
      </c>
      <c r="D220" s="134">
        <v>2006</v>
      </c>
      <c r="E220" s="134" t="s">
        <v>260</v>
      </c>
      <c r="F220" s="134" t="s">
        <v>237</v>
      </c>
      <c r="G220" s="137">
        <v>497798</v>
      </c>
    </row>
    <row r="221" spans="3:7">
      <c r="C221" s="134" t="s">
        <v>270</v>
      </c>
      <c r="D221" s="134">
        <v>2006</v>
      </c>
      <c r="E221" s="134" t="s">
        <v>261</v>
      </c>
      <c r="F221" s="134" t="s">
        <v>237</v>
      </c>
      <c r="G221" s="137">
        <v>515122</v>
      </c>
    </row>
    <row r="222" spans="3:7">
      <c r="C222" s="134" t="s">
        <v>270</v>
      </c>
      <c r="D222" s="134">
        <v>2006</v>
      </c>
      <c r="E222" s="134" t="s">
        <v>262</v>
      </c>
      <c r="F222" s="134" t="s">
        <v>237</v>
      </c>
      <c r="G222" s="137">
        <v>501404</v>
      </c>
    </row>
    <row r="223" spans="3:7">
      <c r="C223" s="134" t="s">
        <v>270</v>
      </c>
      <c r="D223" s="134">
        <v>2006</v>
      </c>
      <c r="E223" s="134" t="s">
        <v>263</v>
      </c>
      <c r="F223" s="134" t="s">
        <v>237</v>
      </c>
      <c r="G223" s="137">
        <v>518350</v>
      </c>
    </row>
    <row r="224" spans="3:7">
      <c r="C224" s="134" t="s">
        <v>270</v>
      </c>
      <c r="D224" s="134">
        <v>2006</v>
      </c>
      <c r="E224" s="134" t="s">
        <v>264</v>
      </c>
      <c r="F224" s="134" t="s">
        <v>237</v>
      </c>
      <c r="G224" s="137">
        <v>445582</v>
      </c>
    </row>
  </sheetData>
  <pageMargins left="0.75" right="0.75" top="1" bottom="1" header="0.51180555555555496" footer="0.51180555555555496"/>
  <pageSetup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2:AMJ67"/>
  <sheetViews>
    <sheetView topLeftCell="A53" zoomScale="80" zoomScaleNormal="80" workbookViewId="0"/>
  </sheetViews>
  <sheetFormatPr defaultColWidth="9" defaultRowHeight="13.15"/>
  <cols>
    <col min="1" max="2" width="9" style="130"/>
    <col min="3" max="3" width="45.625" style="130" customWidth="1"/>
    <col min="4" max="4" width="11.125" style="130" customWidth="1"/>
    <col min="5" max="5" width="11.625" style="130" customWidth="1"/>
    <col min="6" max="6" width="24.5" style="130" customWidth="1"/>
    <col min="7" max="1024" width="9" style="130"/>
  </cols>
  <sheetData>
    <row r="2" spans="2:6" ht="15.6">
      <c r="B2" s="140" t="s">
        <v>271</v>
      </c>
    </row>
    <row r="4" spans="2:6" ht="16.149999999999999">
      <c r="B4" s="141" t="s">
        <v>272</v>
      </c>
    </row>
    <row r="6" spans="2:6" ht="27">
      <c r="B6" s="142"/>
      <c r="C6" s="143" t="s">
        <v>273</v>
      </c>
      <c r="D6" s="144" t="s">
        <v>274</v>
      </c>
      <c r="E6" s="144" t="s">
        <v>275</v>
      </c>
      <c r="F6" s="144" t="s">
        <v>276</v>
      </c>
    </row>
    <row r="7" spans="2:6">
      <c r="D7" s="145"/>
      <c r="E7" s="145"/>
      <c r="F7" s="146"/>
    </row>
    <row r="8" spans="2:6">
      <c r="B8" s="146"/>
      <c r="C8" s="147" t="s">
        <v>12</v>
      </c>
      <c r="D8" s="148"/>
      <c r="E8" s="148"/>
      <c r="F8" s="149"/>
    </row>
    <row r="9" spans="2:6">
      <c r="B9" s="146"/>
      <c r="C9" s="146" t="s">
        <v>277</v>
      </c>
      <c r="D9" s="150">
        <v>3</v>
      </c>
      <c r="E9" s="151"/>
      <c r="F9" s="152"/>
    </row>
    <row r="10" spans="2:6">
      <c r="B10" s="146"/>
      <c r="C10" s="146" t="s">
        <v>278</v>
      </c>
      <c r="D10" s="150">
        <v>3</v>
      </c>
      <c r="E10" s="151"/>
      <c r="F10" s="152"/>
    </row>
    <row r="11" spans="2:6">
      <c r="B11" s="146"/>
      <c r="C11" s="146" t="s">
        <v>279</v>
      </c>
      <c r="D11" s="150">
        <v>1</v>
      </c>
      <c r="E11" s="151"/>
      <c r="F11" s="152"/>
    </row>
    <row r="12" spans="2:6">
      <c r="B12" s="146"/>
      <c r="C12" s="153" t="s">
        <v>280</v>
      </c>
      <c r="D12" s="150"/>
      <c r="E12" s="151"/>
      <c r="F12" s="152"/>
    </row>
    <row r="13" spans="2:6">
      <c r="B13" s="146"/>
      <c r="C13" s="153" t="s">
        <v>281</v>
      </c>
      <c r="D13" s="150"/>
      <c r="E13" s="151"/>
      <c r="F13" s="152"/>
    </row>
    <row r="14" spans="2:6">
      <c r="B14" s="146"/>
      <c r="C14" s="146"/>
      <c r="D14" s="150"/>
      <c r="E14" s="151"/>
      <c r="F14" s="152"/>
    </row>
    <row r="15" spans="2:6">
      <c r="B15" s="146"/>
      <c r="C15" s="147" t="s">
        <v>99</v>
      </c>
      <c r="D15" s="150"/>
      <c r="E15" s="151"/>
      <c r="F15" s="152"/>
    </row>
    <row r="16" spans="2:6">
      <c r="B16" s="146"/>
      <c r="C16" s="146" t="s">
        <v>282</v>
      </c>
      <c r="D16" s="150">
        <v>2</v>
      </c>
      <c r="E16" s="151"/>
      <c r="F16" s="152"/>
    </row>
    <row r="17" spans="2:6">
      <c r="B17" s="146"/>
      <c r="C17" s="146" t="s">
        <v>283</v>
      </c>
      <c r="D17" s="150">
        <v>2</v>
      </c>
      <c r="E17" s="151"/>
      <c r="F17" s="152"/>
    </row>
    <row r="18" spans="2:6">
      <c r="B18" s="146"/>
      <c r="C18" s="146"/>
      <c r="D18" s="150"/>
      <c r="E18" s="151"/>
      <c r="F18" s="152"/>
    </row>
    <row r="19" spans="2:6">
      <c r="B19" s="146"/>
      <c r="C19" s="147" t="s">
        <v>116</v>
      </c>
      <c r="D19" s="150"/>
      <c r="E19" s="151"/>
      <c r="F19" s="152"/>
    </row>
    <row r="20" spans="2:6">
      <c r="B20" s="146"/>
      <c r="C20" s="146" t="s">
        <v>284</v>
      </c>
      <c r="D20" s="150">
        <v>0.5</v>
      </c>
      <c r="E20" s="151"/>
      <c r="F20" s="152"/>
    </row>
    <row r="21" spans="2:6">
      <c r="B21" s="146"/>
      <c r="C21" s="146" t="s">
        <v>285</v>
      </c>
      <c r="D21" s="150">
        <v>0.5</v>
      </c>
      <c r="E21" s="151"/>
      <c r="F21" s="152"/>
    </row>
    <row r="22" spans="2:6">
      <c r="B22" s="146"/>
      <c r="C22" s="146"/>
      <c r="D22" s="150"/>
      <c r="E22" s="151"/>
      <c r="F22" s="152"/>
    </row>
    <row r="23" spans="2:6">
      <c r="B23" s="146"/>
      <c r="C23" s="147" t="s">
        <v>286</v>
      </c>
      <c r="D23" s="150"/>
      <c r="E23" s="151"/>
      <c r="F23" s="152"/>
    </row>
    <row r="24" spans="2:6">
      <c r="B24" s="146"/>
      <c r="C24" s="154" t="s">
        <v>287</v>
      </c>
      <c r="D24" s="150"/>
      <c r="E24" s="151"/>
      <c r="F24" s="152"/>
    </row>
    <row r="25" spans="2:6">
      <c r="B25" s="146"/>
      <c r="C25" s="146" t="s">
        <v>288</v>
      </c>
      <c r="D25" s="150">
        <v>2</v>
      </c>
      <c r="E25" s="151"/>
      <c r="F25" s="152"/>
    </row>
    <row r="26" spans="2:6">
      <c r="B26" s="146"/>
      <c r="C26" s="146" t="s">
        <v>289</v>
      </c>
      <c r="D26" s="150">
        <v>2</v>
      </c>
      <c r="E26" s="151"/>
      <c r="F26" s="152"/>
    </row>
    <row r="27" spans="2:6">
      <c r="B27" s="146"/>
      <c r="C27" s="146"/>
      <c r="D27" s="150"/>
      <c r="E27" s="151"/>
      <c r="F27" s="152"/>
    </row>
    <row r="28" spans="2:6">
      <c r="B28" s="146"/>
      <c r="C28" s="147" t="s">
        <v>290</v>
      </c>
      <c r="D28" s="150"/>
      <c r="E28" s="151"/>
      <c r="F28" s="152"/>
    </row>
    <row r="29" spans="2:6">
      <c r="B29" s="146"/>
      <c r="C29" s="146" t="s">
        <v>291</v>
      </c>
      <c r="D29" s="150">
        <v>1</v>
      </c>
      <c r="E29" s="151"/>
      <c r="F29" s="152"/>
    </row>
    <row r="30" spans="2:6">
      <c r="B30" s="146"/>
      <c r="C30" s="146" t="s">
        <v>292</v>
      </c>
      <c r="D30" s="150">
        <v>2</v>
      </c>
      <c r="E30" s="151"/>
      <c r="F30" s="152"/>
    </row>
    <row r="31" spans="2:6">
      <c r="B31" s="146"/>
      <c r="C31" s="146" t="s">
        <v>293</v>
      </c>
      <c r="D31" s="150">
        <v>1</v>
      </c>
      <c r="E31" s="151"/>
      <c r="F31" s="152"/>
    </row>
    <row r="32" spans="2:6">
      <c r="B32" s="146"/>
      <c r="C32" s="146"/>
      <c r="D32" s="150"/>
      <c r="E32" s="151"/>
      <c r="F32" s="152"/>
    </row>
    <row r="33" spans="2:6">
      <c r="B33" s="146"/>
      <c r="C33" s="146"/>
      <c r="D33" s="150"/>
      <c r="E33" s="151"/>
      <c r="F33" s="152"/>
    </row>
    <row r="34" spans="2:6">
      <c r="B34" s="146"/>
      <c r="C34" s="147" t="s">
        <v>294</v>
      </c>
      <c r="D34" s="150">
        <v>1</v>
      </c>
      <c r="E34" s="151"/>
      <c r="F34" s="152"/>
    </row>
    <row r="35" spans="2:6">
      <c r="B35" s="146"/>
      <c r="C35" s="146" t="s">
        <v>295</v>
      </c>
      <c r="D35" s="150">
        <v>1</v>
      </c>
      <c r="E35" s="151"/>
      <c r="F35" s="152"/>
    </row>
    <row r="36" spans="2:6">
      <c r="B36" s="146"/>
      <c r="C36" s="146" t="s">
        <v>296</v>
      </c>
      <c r="D36" s="150"/>
      <c r="E36" s="151"/>
      <c r="F36" s="152"/>
    </row>
    <row r="37" spans="2:6">
      <c r="B37" s="146"/>
      <c r="C37" s="146"/>
      <c r="D37" s="150"/>
      <c r="E37" s="151"/>
      <c r="F37" s="152"/>
    </row>
    <row r="38" spans="2:6">
      <c r="B38" s="146"/>
      <c r="C38" s="146"/>
      <c r="D38" s="150"/>
      <c r="E38" s="151"/>
      <c r="F38" s="152"/>
    </row>
    <row r="39" spans="2:6">
      <c r="B39" s="146"/>
      <c r="C39" s="147" t="s">
        <v>297</v>
      </c>
      <c r="D39" s="150"/>
      <c r="E39" s="151"/>
      <c r="F39" s="152"/>
    </row>
    <row r="40" spans="2:6">
      <c r="B40" s="146"/>
      <c r="C40" s="146" t="s">
        <v>298</v>
      </c>
      <c r="D40" s="150">
        <v>1</v>
      </c>
      <c r="E40" s="151"/>
      <c r="F40" s="152"/>
    </row>
    <row r="41" spans="2:6">
      <c r="B41" s="146"/>
      <c r="C41" s="146" t="s">
        <v>299</v>
      </c>
      <c r="D41" s="150">
        <v>1</v>
      </c>
      <c r="E41" s="151"/>
      <c r="F41" s="152"/>
    </row>
    <row r="42" spans="2:6">
      <c r="B42" s="146"/>
      <c r="C42" s="146" t="s">
        <v>300</v>
      </c>
      <c r="D42" s="150"/>
      <c r="E42" s="151"/>
      <c r="F42" s="152"/>
    </row>
    <row r="43" spans="2:6">
      <c r="B43" s="146"/>
      <c r="C43" s="146"/>
      <c r="D43" s="150"/>
      <c r="E43" s="151"/>
      <c r="F43" s="152"/>
    </row>
    <row r="44" spans="2:6">
      <c r="B44" s="146"/>
      <c r="C44" s="146"/>
      <c r="D44" s="150"/>
      <c r="E44" s="151"/>
      <c r="F44" s="152"/>
    </row>
    <row r="45" spans="2:6">
      <c r="B45" s="146"/>
      <c r="C45" s="147" t="s">
        <v>301</v>
      </c>
      <c r="D45" s="150"/>
      <c r="E45" s="151"/>
      <c r="F45" s="152"/>
    </row>
    <row r="46" spans="2:6">
      <c r="B46" s="146"/>
      <c r="C46" s="146" t="s">
        <v>302</v>
      </c>
      <c r="D46" s="150">
        <v>4</v>
      </c>
      <c r="E46" s="151"/>
      <c r="F46" s="152"/>
    </row>
    <row r="47" spans="2:6">
      <c r="B47" s="146"/>
      <c r="C47" s="146" t="s">
        <v>303</v>
      </c>
      <c r="D47" s="150"/>
      <c r="E47" s="151"/>
      <c r="F47" s="152"/>
    </row>
    <row r="48" spans="2:6">
      <c r="B48" s="146"/>
      <c r="C48" s="146" t="s">
        <v>304</v>
      </c>
      <c r="D48" s="150"/>
      <c r="E48" s="151"/>
      <c r="F48" s="152"/>
    </row>
    <row r="49" spans="2:6">
      <c r="B49" s="146"/>
      <c r="C49" s="146"/>
      <c r="D49" s="150"/>
      <c r="E49" s="151"/>
      <c r="F49" s="152"/>
    </row>
    <row r="50" spans="2:6">
      <c r="B50" s="146"/>
      <c r="C50" s="146" t="s">
        <v>305</v>
      </c>
      <c r="D50" s="150">
        <v>4</v>
      </c>
      <c r="E50" s="151"/>
      <c r="F50" s="152"/>
    </row>
    <row r="51" spans="2:6">
      <c r="B51" s="146"/>
      <c r="C51" s="146" t="s">
        <v>306</v>
      </c>
      <c r="D51" s="150"/>
      <c r="E51" s="151"/>
      <c r="F51" s="152"/>
    </row>
    <row r="52" spans="2:6">
      <c r="B52" s="146"/>
      <c r="C52" s="155" t="s">
        <v>307</v>
      </c>
      <c r="D52" s="150"/>
      <c r="E52" s="151"/>
      <c r="F52" s="152"/>
    </row>
    <row r="53" spans="2:6">
      <c r="B53" s="146"/>
      <c r="C53" s="146"/>
      <c r="D53" s="150"/>
      <c r="E53" s="151"/>
      <c r="F53" s="152"/>
    </row>
    <row r="54" spans="2:6">
      <c r="B54" s="146"/>
      <c r="C54" s="155" t="s">
        <v>308</v>
      </c>
      <c r="D54" s="150">
        <v>4</v>
      </c>
      <c r="E54" s="151"/>
      <c r="F54" s="152"/>
    </row>
    <row r="55" spans="2:6">
      <c r="B55" s="146"/>
      <c r="C55" s="155" t="s">
        <v>309</v>
      </c>
      <c r="D55" s="150"/>
      <c r="E55" s="151"/>
      <c r="F55" s="152"/>
    </row>
    <row r="56" spans="2:6">
      <c r="B56" s="146"/>
      <c r="C56" s="146" t="s">
        <v>310</v>
      </c>
      <c r="D56" s="150"/>
      <c r="E56" s="151"/>
      <c r="F56" s="152"/>
    </row>
    <row r="57" spans="2:6">
      <c r="B57" s="146"/>
      <c r="C57" s="155" t="s">
        <v>311</v>
      </c>
      <c r="D57" s="150"/>
      <c r="E57" s="151"/>
      <c r="F57" s="152"/>
    </row>
    <row r="58" spans="2:6">
      <c r="B58" s="146"/>
      <c r="C58" s="146"/>
      <c r="D58" s="150"/>
      <c r="E58" s="151"/>
      <c r="F58" s="152"/>
    </row>
    <row r="59" spans="2:6">
      <c r="B59" s="146"/>
      <c r="C59" s="146" t="s">
        <v>312</v>
      </c>
      <c r="D59" s="150">
        <v>4</v>
      </c>
      <c r="E59" s="151"/>
      <c r="F59" s="152"/>
    </row>
    <row r="60" spans="2:6">
      <c r="B60" s="146"/>
      <c r="C60" s="146" t="s">
        <v>313</v>
      </c>
      <c r="D60" s="150"/>
      <c r="E60" s="151"/>
      <c r="F60" s="152"/>
    </row>
    <row r="61" spans="2:6">
      <c r="B61" s="146"/>
      <c r="C61" s="146" t="s">
        <v>314</v>
      </c>
      <c r="D61" s="150"/>
      <c r="E61" s="151"/>
      <c r="F61" s="152"/>
    </row>
    <row r="62" spans="2:6">
      <c r="B62" s="146"/>
      <c r="C62" s="146" t="s">
        <v>315</v>
      </c>
      <c r="D62" s="150"/>
      <c r="E62" s="151"/>
      <c r="F62" s="152"/>
    </row>
    <row r="63" spans="2:6">
      <c r="C63" s="156"/>
      <c r="D63" s="157"/>
      <c r="E63" s="158"/>
      <c r="F63" s="159"/>
    </row>
    <row r="64" spans="2:6" ht="13.9">
      <c r="B64" s="142"/>
      <c r="C64" s="142"/>
      <c r="D64" s="160"/>
      <c r="E64" s="160"/>
      <c r="F64" s="142"/>
    </row>
    <row r="65" spans="3:6" ht="21" customHeight="1">
      <c r="C65" s="161" t="s">
        <v>316</v>
      </c>
      <c r="D65" s="162">
        <f>SUM(D8:D60)</f>
        <v>40</v>
      </c>
      <c r="E65" s="163">
        <f>SUM(E8:E60)</f>
        <v>0</v>
      </c>
    </row>
    <row r="66" spans="3:6" ht="19.5" customHeight="1">
      <c r="C66" s="164" t="s">
        <v>317</v>
      </c>
      <c r="E66" s="165"/>
      <c r="F66" s="166" t="s">
        <v>318</v>
      </c>
    </row>
    <row r="67" spans="3:6" ht="21" customHeight="1">
      <c r="C67" s="167" t="s">
        <v>319</v>
      </c>
      <c r="D67" s="168"/>
      <c r="E67" s="162">
        <f>D65-(E65+E66)</f>
        <v>40</v>
      </c>
    </row>
  </sheetData>
  <pageMargins left="0.75" right="0.75" top="1" bottom="1" header="0.5" footer="0.5"/>
  <pageSetup firstPageNumber="0" orientation="portrait" horizontalDpi="300" verticalDpi="300"/>
  <headerFooter>
    <oddHeader>&amp;L2008&amp;CBusiness Computer Applications&amp;RScoring Guidelines</oddHeader>
    <oddFooter>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Fuqua School of Business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Paula Ecklund</dc:creator>
  <cp:keywords/>
  <dc:description/>
  <cp:lastModifiedBy/>
  <cp:revision>22</cp:revision>
  <dcterms:created xsi:type="dcterms:W3CDTF">1998-06-16T17:37:51Z</dcterms:created>
  <dcterms:modified xsi:type="dcterms:W3CDTF">2021-05-10T16:05:28Z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Fuqua School of Business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
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11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37.png" ContentType="image/png"/>
  <Override PartName="/xl/media/image38.png" ContentType="image/png"/>
  <Override PartName="/xl/media/image39.png" ContentType="image/png"/>
  <Override PartName="/xl/media/image40.png" ContentType="image/png"/>
  <Override PartName="/xl/media/image41.png" ContentType="image/png"/>
  <Override PartName="/xl/media/image42.png" ContentType="image/png"/>
  <Override PartName="/xl/media/image43.png" ContentType="image/png"/>
  <Override PartName="/xl/media/image44.png" ContentType="image/png"/>
  <Override PartName="/xl/media/image45.png" ContentType="image/png"/>
  <Override PartName="/xl/media/image46.png" ContentType="image/png"/>
  <Override PartName="/xl/media/image47.png" ContentType="image/png"/>
  <Override PartName="/xl/media/image48.png" ContentType="image/png"/>
  <Override PartName="/xl/drawings/_rels/drawing4.xml.rels" ContentType="application/vnd.openxmlformats-package.relationships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troduction " sheetId="1" state="visible" r:id="rId2"/>
    <sheet name="Task 1-Contract Work" sheetId="2" state="visible" r:id="rId3"/>
    <sheet name="Tables" sheetId="3" state="visible" r:id="rId4"/>
    <sheet name="Task 2-Total Pay Report " sheetId="4" state="visible" r:id="rId5"/>
    <sheet name="Task 3-Employee Name Report " sheetId="5" state="visible" r:id="rId6"/>
    <sheet name="Task 4-Summarize Sales" sheetId="6" state="visible" r:id="rId7"/>
    <sheet name="Task 5-Analyze Stock Returns " sheetId="7" state="visible" r:id="rId8"/>
    <sheet name="Task 6- Outlining" sheetId="8" state="visible" r:id="rId9"/>
    <sheet name="Task 7- Data Validation" sheetId="9" state="visible" r:id="rId10"/>
    <sheet name="Task 8- Pivot Tables" sheetId="10" state="visible" r:id="rId11"/>
    <sheet name="Scoring Guide" sheetId="11" state="visible" r:id="rId12"/>
  </sheets>
  <definedNames>
    <definedName function="false" hidden="false" name="Clients" vbProcedure="false">Tables!$C$19:$D$28</definedName>
    <definedName function="false" hidden="false" name="Employees" vbProcedure="false">Tables!$C$33:$E$72</definedName>
    <definedName function="false" hidden="false" name="Work_Codes" vbProcedure="false">Tables!$C$12:$E$14</definedName>
    <definedName function="false" hidden="false" name="_xlnm.Database" vbProcedure="false">'Task 8- Pivot Tables'!$C$8:$G$224</definedName>
    <definedName function="false" hidden="false" localSheetId="1" name="_xlnm._FilterDatabase" vbProcedure="false">'Task 1-Contract Work'!$B$9:$J$111</definedName>
    <definedName function="false" hidden="false" localSheetId="5" name="_xlnm._FilterDatabase" vbProcedure="false">'Task 4-Summarize Sales'!$B$7:$F$89</definedName>
    <definedName function="false" hidden="false" localSheetId="6" name="PMReturns" vbProcedure="false">'Task 5-Analyze Stock Returns '!$F$12:$F$94</definedName>
    <definedName function="false" hidden="false" localSheetId="8" name="CriteriaList" vbProcedure="false">'Task 7- Data Validation'!$J$7:$J$16</definedName>
    <definedName function="false" hidden="false" localSheetId="9" name="_xlnm._FilterDatabase" vbProcedure="false">'Task 8- Pivot Tables'!$C$8:$G$224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<sst xmlns="http://schemas.openxmlformats.org/spreadsheetml/2006/main" count="1344" uniqueCount="225">
  <si>
    <t xml:space="preserve">Hands on: Managing Data</t>
  </si>
  <si>
    <t xml:space="preserve">Worksheets: </t>
  </si>
  <si>
    <t xml:space="preserve">Task 1-Contract Work </t>
  </si>
  <si>
    <r>
      <rPr>
        <sz val="11"/>
        <rFont val="Arial"/>
        <family val="2"/>
        <charset val="1"/>
      </rPr>
      <t xml:space="preserve">Tables </t>
    </r>
    <r>
      <rPr>
        <i val="true"/>
        <sz val="11"/>
        <rFont val="Arial"/>
        <family val="2"/>
        <charset val="1"/>
      </rPr>
      <t xml:space="preserve">(for Tasks 1 and 2)</t>
    </r>
  </si>
  <si>
    <t xml:space="preserve">Task 2-Total Pay Report </t>
  </si>
  <si>
    <t xml:space="preserve">Task 3-Employee Name Report</t>
  </si>
  <si>
    <t xml:space="preserve">Task 4-Summarize Sales</t>
  </si>
  <si>
    <t xml:space="preserve">Task 5-Analyze Stock Returns </t>
  </si>
  <si>
    <t xml:space="preserve">Task 6-Outlining</t>
  </si>
  <si>
    <t xml:space="preserve">Task 7-Data Validation </t>
  </si>
  <si>
    <t xml:space="preserve">Task 8-Pivot Tables</t>
  </si>
  <si>
    <t xml:space="preserve">Scoring Guide - For your information only. Details on how your work is scored.</t>
  </si>
  <si>
    <t xml:space="preserve">Task 1: Complete the Work Records</t>
  </si>
  <si>
    <t xml:space="preserve">Mogul Cell Phones</t>
  </si>
  <si>
    <t xml:space="preserve">       Contract Work Records</t>
  </si>
  <si>
    <t xml:space="preserve">Employee Code</t>
  </si>
  <si>
    <t xml:space="preserve">Specialty Code</t>
  </si>
  <si>
    <t xml:space="preserve">Client Code</t>
  </si>
  <si>
    <t xml:space="preserve">Date</t>
  </si>
  <si>
    <t xml:space="preserve">From</t>
  </si>
  <si>
    <t xml:space="preserve">To</t>
  </si>
  <si>
    <t xml:space="preserve">Total Hours</t>
  </si>
  <si>
    <t xml:space="preserve">Hourly Rate</t>
  </si>
  <si>
    <t xml:space="preserve">Total Pay</t>
  </si>
  <si>
    <t xml:space="preserve">Specialty Name</t>
  </si>
  <si>
    <t xml:space="preserve">W3</t>
  </si>
  <si>
    <t xml:space="preserve">C40</t>
  </si>
  <si>
    <t xml:space="preserve">Corporate Sales</t>
  </si>
  <si>
    <t xml:space="preserve">W4</t>
  </si>
  <si>
    <t xml:space="preserve">C15</t>
  </si>
  <si>
    <t xml:space="preserve">Residential Sales</t>
  </si>
  <si>
    <t xml:space="preserve">C10</t>
  </si>
  <si>
    <t xml:space="preserve">W8</t>
  </si>
  <si>
    <t xml:space="preserve">Walk-in Sales</t>
  </si>
  <si>
    <t xml:space="preserve">C60</t>
  </si>
  <si>
    <t xml:space="preserve">C80</t>
  </si>
  <si>
    <t xml:space="preserve">C20</t>
  </si>
  <si>
    <t xml:space="preserve">C90</t>
  </si>
  <si>
    <t xml:space="preserve">C50</t>
  </si>
  <si>
    <t xml:space="preserve">C70</t>
  </si>
  <si>
    <t xml:space="preserve">C30</t>
  </si>
  <si>
    <t xml:space="preserve">Tables (for Tasks 1 and 2)</t>
  </si>
  <si>
    <t xml:space="preserve">     Master data ranges</t>
  </si>
  <si>
    <t xml:space="preserve">Table name: Work_Codes</t>
  </si>
  <si>
    <t xml:space="preserve">Table name: Clients</t>
  </si>
  <si>
    <t xml:space="preserve">Client Name</t>
  </si>
  <si>
    <t xml:space="preserve">Mallard &amp; Hernandez, Inc.</t>
  </si>
  <si>
    <t xml:space="preserve">Rodriguez Catering</t>
  </si>
  <si>
    <t xml:space="preserve">Mack's Moving &amp; Storage</t>
  </si>
  <si>
    <t xml:space="preserve">Wardell, Mingus, and Krenshaw</t>
  </si>
  <si>
    <t xml:space="preserve">City of Morton, NC</t>
  </si>
  <si>
    <t xml:space="preserve">School of the Environment</t>
  </si>
  <si>
    <t xml:space="preserve">Marshall Furniture</t>
  </si>
  <si>
    <t xml:space="preserve">Tandy's, Inc.</t>
  </si>
  <si>
    <t xml:space="preserve">Renfrow Printers &amp; Publishers</t>
  </si>
  <si>
    <t xml:space="preserve">Sanford Booksellers, Ltd.</t>
  </si>
  <si>
    <t xml:space="preserve">Table name: Employees</t>
  </si>
  <si>
    <t xml:space="preserve">Name</t>
  </si>
  <si>
    <t xml:space="preserve">Specialty</t>
  </si>
  <si>
    <t xml:space="preserve">Charles Morton</t>
  </si>
  <si>
    <t xml:space="preserve">Allison Ives</t>
  </si>
  <si>
    <t xml:space="preserve">Jackson Lin</t>
  </si>
  <si>
    <t xml:space="preserve">Rodrigo Alvarez</t>
  </si>
  <si>
    <t xml:space="preserve">Arthur Reilly</t>
  </si>
  <si>
    <t xml:space="preserve">Jordan Hill</t>
  </si>
  <si>
    <t xml:space="preserve">Susanne Foster</t>
  </si>
  <si>
    <t xml:space="preserve">Scott Dilworth</t>
  </si>
  <si>
    <t xml:space="preserve">Kate Emerson</t>
  </si>
  <si>
    <t xml:space="preserve">Lori Anderson</t>
  </si>
  <si>
    <t xml:space="preserve">Eric Stokes</t>
  </si>
  <si>
    <t xml:space="preserve">Sarah Heller</t>
  </si>
  <si>
    <t xml:space="preserve">Carol Johnson</t>
  </si>
  <si>
    <t xml:space="preserve">Kevin McCallum</t>
  </si>
  <si>
    <t xml:space="preserve">James Hartigan</t>
  </si>
  <si>
    <t xml:space="preserve">Thomas Hoffman</t>
  </si>
  <si>
    <t xml:space="preserve">Bryan Fowler</t>
  </si>
  <si>
    <t xml:space="preserve">Elizabeth Roy</t>
  </si>
  <si>
    <t xml:space="preserve">Nadine Smith</t>
  </si>
  <si>
    <t xml:space="preserve">John Pane</t>
  </si>
  <si>
    <t xml:space="preserve">John O'Donnell</t>
  </si>
  <si>
    <t xml:space="preserve">Far Wen</t>
  </si>
  <si>
    <t xml:space="preserve">Carolyn Roxby</t>
  </si>
  <si>
    <t xml:space="preserve">Angela Garcia</t>
  </si>
  <si>
    <t xml:space="preserve">Tiffany Rifkin</t>
  </si>
  <si>
    <t xml:space="preserve">Sam Carver</t>
  </si>
  <si>
    <t xml:space="preserve">Everett Ko</t>
  </si>
  <si>
    <t xml:space="preserve">Norman Hardison</t>
  </si>
  <si>
    <t xml:space="preserve">Pamela Buncombe</t>
  </si>
  <si>
    <t xml:space="preserve">Ardis Foxworth</t>
  </si>
  <si>
    <t xml:space="preserve">Bob Brickey</t>
  </si>
  <si>
    <t xml:space="preserve">Casper Johnson</t>
  </si>
  <si>
    <t xml:space="preserve">Steven Galloway</t>
  </si>
  <si>
    <t xml:space="preserve">Peter Walton</t>
  </si>
  <si>
    <t xml:space="preserve">Linda Huff</t>
  </si>
  <si>
    <t xml:space="preserve">Gary Seamans</t>
  </si>
  <si>
    <t xml:space="preserve">Jose Naron</t>
  </si>
  <si>
    <t xml:space="preserve">Anne Neville</t>
  </si>
  <si>
    <t xml:space="preserve">Terri Rorick</t>
  </si>
  <si>
    <t xml:space="preserve">Renee Kringle</t>
  </si>
  <si>
    <t xml:space="preserve">Task 2: Complete the Total Pay Report</t>
  </si>
  <si>
    <t xml:space="preserve">Employee Name</t>
  </si>
  <si>
    <t xml:space="preserve">Task 3: Complete the Employee Name Report</t>
  </si>
  <si>
    <t xml:space="preserve">First Name</t>
  </si>
  <si>
    <t xml:space="preserve">Last Name</t>
  </si>
  <si>
    <t xml:space="preserve">Task 4: Summarize Sales</t>
  </si>
  <si>
    <t xml:space="preserve">Client Region</t>
  </si>
  <si>
    <t xml:space="preserve">Billable Hours</t>
  </si>
  <si>
    <t xml:space="preserve">Total Sales</t>
  </si>
  <si>
    <t xml:space="preserve">Trend Advisors</t>
  </si>
  <si>
    <t xml:space="preserve">North</t>
  </si>
  <si>
    <t xml:space="preserve">Lester Redevelopment Inc.</t>
  </si>
  <si>
    <t xml:space="preserve">South</t>
  </si>
  <si>
    <t xml:space="preserve">Robinett's Strip Malls</t>
  </si>
  <si>
    <t xml:space="preserve">Silicon Ventures</t>
  </si>
  <si>
    <t xml:space="preserve">West</t>
  </si>
  <si>
    <t xml:space="preserve">East</t>
  </si>
  <si>
    <t xml:space="preserve">Mulberry Electronics </t>
  </si>
  <si>
    <t xml:space="preserve">Second Best Buys</t>
  </si>
  <si>
    <t xml:space="preserve">Oglethorpe Riding Mowers</t>
  </si>
  <si>
    <t xml:space="preserve">All Things Surf </t>
  </si>
  <si>
    <t xml:space="preserve">Task 5: Analyze Stock Returns (Bonus)</t>
  </si>
  <si>
    <t xml:space="preserve">    Find out in increments of 10 how many periods the stock gave returns</t>
  </si>
  <si>
    <t xml:space="preserve">    between the lowest (-26.6) and highest (19.2) values using Excel's</t>
  </si>
  <si>
    <t xml:space="preserve">    FREQUENCY array function.</t>
  </si>
  <si>
    <t xml:space="preserve">Returns</t>
  </si>
  <si>
    <t xml:space="preserve">Bin Values</t>
  </si>
  <si>
    <t xml:space="preserve">Task 6: Basic Outlining</t>
  </si>
  <si>
    <t xml:space="preserve">State</t>
  </si>
  <si>
    <t xml:space="preserve">January</t>
  </si>
  <si>
    <t xml:space="preserve">February</t>
  </si>
  <si>
    <t xml:space="preserve">March</t>
  </si>
  <si>
    <t xml:space="preserve">Quarter 1</t>
  </si>
  <si>
    <t xml:space="preserve">April</t>
  </si>
  <si>
    <t xml:space="preserve">May</t>
  </si>
  <si>
    <t xml:space="preserve">June</t>
  </si>
  <si>
    <t xml:space="preserve">Quarter 2</t>
  </si>
  <si>
    <t xml:space="preserve">July</t>
  </si>
  <si>
    <t xml:space="preserve">August</t>
  </si>
  <si>
    <t xml:space="preserve">September</t>
  </si>
  <si>
    <t xml:space="preserve">Quarter 3</t>
  </si>
  <si>
    <t xml:space="preserve">October</t>
  </si>
  <si>
    <t xml:space="preserve">November</t>
  </si>
  <si>
    <t xml:space="preserve">December</t>
  </si>
  <si>
    <t xml:space="preserve">Quarter 4</t>
  </si>
  <si>
    <t xml:space="preserve">Grand Total</t>
  </si>
  <si>
    <t xml:space="preserve">Oregon</t>
  </si>
  <si>
    <t xml:space="preserve">Washington</t>
  </si>
  <si>
    <t xml:space="preserve">California</t>
  </si>
  <si>
    <t xml:space="preserve">West Total</t>
  </si>
  <si>
    <t xml:space="preserve">Ohio</t>
  </si>
  <si>
    <t xml:space="preserve">Iowa</t>
  </si>
  <si>
    <t xml:space="preserve">Illinois</t>
  </si>
  <si>
    <t xml:space="preserve">Mid Total</t>
  </si>
  <si>
    <t xml:space="preserve">North Carolina</t>
  </si>
  <si>
    <t xml:space="preserve">Georgia</t>
  </si>
  <si>
    <t xml:space="preserve">Virginia</t>
  </si>
  <si>
    <t xml:space="preserve">South Total</t>
  </si>
  <si>
    <t xml:space="preserve">Task 7: A Data Validation Application</t>
  </si>
  <si>
    <t xml:space="preserve">Select a criterion:</t>
  </si>
  <si>
    <t xml:space="preserve">Work Area</t>
  </si>
  <si>
    <t xml:space="preserve">Task 8: Pivot Table </t>
  </si>
  <si>
    <t xml:space="preserve">Database</t>
  </si>
  <si>
    <t xml:space="preserve">Season</t>
  </si>
  <si>
    <t xml:space="preserve">Year</t>
  </si>
  <si>
    <t xml:space="preserve">Type</t>
  </si>
  <si>
    <t xml:space="preserve">Sales $</t>
  </si>
  <si>
    <t xml:space="preserve">Fall</t>
  </si>
  <si>
    <t xml:space="preserve">Amber Ale</t>
  </si>
  <si>
    <t xml:space="preserve">Hefeweizen</t>
  </si>
  <si>
    <t xml:space="preserve">Pale Ale</t>
  </si>
  <si>
    <t xml:space="preserve">Pilsner</t>
  </si>
  <si>
    <t xml:space="preserve">Porter</t>
  </si>
  <si>
    <t xml:space="preserve">Stout</t>
  </si>
  <si>
    <t xml:space="preserve">Spring</t>
  </si>
  <si>
    <t xml:space="preserve">Summer</t>
  </si>
  <si>
    <t xml:space="preserve">Winter</t>
  </si>
  <si>
    <t xml:space="preserve">Managing Data with Excel Scoring Guide</t>
  </si>
  <si>
    <t xml:space="preserve">Scoring guide - for your information only. Details on how your work is scored.</t>
  </si>
  <si>
    <t xml:space="preserve">Task/Technique</t>
  </si>
  <si>
    <t xml:space="preserve">Possible Points</t>
  </si>
  <si>
    <t xml:space="preserve">Points Deducted</t>
  </si>
  <si>
    <t xml:space="preserve">Grader Notes</t>
  </si>
  <si>
    <t xml:space="preserve">    - Total Hours formulas and results correct.</t>
  </si>
  <si>
    <t xml:space="preserve">    - Hourly Rate formulas (lookup) and results correct.</t>
  </si>
  <si>
    <t xml:space="preserve">    - Total Pay formulas and results correct.</t>
  </si>
  <si>
    <t xml:space="preserve">Note: Original record order changed by subsequent</t>
  </si>
  <si>
    <t xml:space="preserve">tasks. This is to be expected.</t>
  </si>
  <si>
    <t xml:space="preserve">    - All six report columns contain appropriate data.</t>
  </si>
  <si>
    <t xml:space="preserve">    - Total pay is summed for each employee.</t>
  </si>
  <si>
    <t xml:space="preserve">    - First names in first-name column of the report.</t>
  </si>
  <si>
    <t xml:space="preserve">    - Last names in last-name column of the report.</t>
  </si>
  <si>
    <t xml:space="preserve">Task 4: Summarize Sales &amp; Hours</t>
  </si>
  <si>
    <t xml:space="preserve">When displayed in outline level 3 (or 4)</t>
  </si>
  <si>
    <t xml:space="preserve">    - Sales are totaled by client region (N, S, E, W).</t>
  </si>
  <si>
    <t xml:space="preserve">    - Hours are totaled by client name.</t>
  </si>
  <si>
    <t xml:space="preserve">Task 5: Analyze Stock Returns</t>
  </si>
  <si>
    <t xml:space="preserve">    - Bin values of -30 to 20 as described.</t>
  </si>
  <si>
    <t xml:space="preserve">    - # of monthly returns values are an array.</t>
  </si>
  <si>
    <t xml:space="preserve">    - # of monthly returns are correct.</t>
  </si>
  <si>
    <t xml:space="preserve">Task 6: Outlining</t>
  </si>
  <si>
    <t xml:space="preserve">   - Data in Excel outline form.</t>
  </si>
  <si>
    <t xml:space="preserve">   - Outline shows the most summarized view.</t>
  </si>
  <si>
    <t xml:space="preserve">Task 7: Data Validation and Conditional Formats</t>
  </si>
  <si>
    <t xml:space="preserve">    - "Select a criterion" drop-down shows number options.</t>
  </si>
  <si>
    <t xml:space="preserve">    - Drop-down controls display of green shading</t>
  </si>
  <si>
    <t xml:space="preserve">      in cells in the data range.</t>
  </si>
  <si>
    <t xml:space="preserve">Task 8: Create Four Pivot Table Views</t>
  </si>
  <si>
    <t xml:space="preserve">    - View 1: Row = State , Column = Year , Data =  </t>
  </si>
  <si>
    <t xml:space="preserve">      Sum of Sales $.</t>
  </si>
  <si>
    <t xml:space="preserve">      Grand Totals for Columns only (not rows); Year 2006.</t>
  </si>
  <si>
    <t xml:space="preserve">    - View 2: Row = Type, Column = state, Page = Year and</t>
  </si>
  <si>
    <t xml:space="preserve">      Season, Data = Average of Sales $.</t>
  </si>
  <si>
    <t xml:space="preserve">      Grand Totals for both Rows and Columns.</t>
  </si>
  <si>
    <t xml:space="preserve">    - View 3: Row = Year as outer and Season as inner,</t>
  </si>
  <si>
    <t xml:space="preserve">      Column = State w/only CA and WA data shown.</t>
  </si>
  <si>
    <t xml:space="preserve">      Data = Sum and Average of Sales $.</t>
  </si>
  <si>
    <t xml:space="preserve">      Only 2005 data, no Year subtotals, No Grand Totals.</t>
  </si>
  <si>
    <t xml:space="preserve">    - View 4: No Row field, Column = Type, Data = Sum of</t>
  </si>
  <si>
    <t xml:space="preserve">      Sales $, Page field = Season.</t>
  </si>
  <si>
    <r>
      <rPr>
        <sz val="10"/>
        <rFont val="Arial"/>
        <family val="2"/>
        <charset val="1"/>
      </rPr>
      <t xml:space="preserve">       Pilsner and Stout shown for Winter </t>
    </r>
    <r>
      <rPr>
        <b val="true"/>
        <sz val="10"/>
        <rFont val="Arial"/>
        <family val="2"/>
        <charset val="1"/>
      </rPr>
      <t xml:space="preserve">OR</t>
    </r>
  </si>
  <si>
    <r>
      <rPr>
        <sz val="10"/>
        <rFont val="Arial"/>
        <family val="2"/>
        <charset val="1"/>
      </rPr>
      <t xml:space="preserve">            Pilsner, Porter, </t>
    </r>
    <r>
      <rPr>
        <b val="true"/>
        <sz val="10"/>
        <rFont val="Arial"/>
        <family val="2"/>
        <charset val="1"/>
      </rPr>
      <t xml:space="preserve">AND Stout</t>
    </r>
    <r>
      <rPr>
        <sz val="10"/>
        <rFont val="Arial"/>
        <family val="2"/>
        <charset val="1"/>
      </rPr>
      <t xml:space="preserve"> shown for Winter.</t>
    </r>
  </si>
  <si>
    <r>
      <rPr>
        <b val="true"/>
        <sz val="12"/>
        <color rgb="FF002060"/>
        <rFont val="Arial"/>
        <family val="2"/>
        <charset val="1"/>
      </rPr>
      <t xml:space="preserve">Possible</t>
    </r>
    <r>
      <rPr>
        <b val="true"/>
        <sz val="12"/>
        <rFont val="Arial"/>
        <family val="2"/>
        <charset val="1"/>
      </rPr>
      <t xml:space="preserve">/</t>
    </r>
    <r>
      <rPr>
        <b val="true"/>
        <sz val="12"/>
        <color rgb="FFFF0000"/>
        <rFont val="Arial"/>
        <family val="2"/>
        <charset val="1"/>
      </rPr>
      <t xml:space="preserve">Deducted</t>
    </r>
    <r>
      <rPr>
        <b val="true"/>
        <sz val="12"/>
        <rFont val="Arial"/>
        <family val="2"/>
        <charset val="1"/>
      </rPr>
      <t xml:space="preserve"> Points:</t>
    </r>
  </si>
  <si>
    <t xml:space="preserve">Late points (if any)</t>
  </si>
  <si>
    <t xml:space="preserve">1 point per late day is deducted from the total score.</t>
  </si>
  <si>
    <t xml:space="preserve">Points Earned: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</si>
</sst>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0"/>
    <numFmt numFmtId="166" formatCode="mmmm\ d&quot;, &quot;yyyy"/>
    <numFmt numFmtId="167" formatCode="[$-409]h:mm\ AM/PM;@"/>
    <numFmt numFmtId="168" formatCode="0.0"/>
    <numFmt numFmtId="169" formatCode="\$#,##0"/>
    <numFmt numFmtId="170" formatCode="[$$-409]#,##0.00;[RED]\-[$$-409]#,##0.00"/>
    <numFmt numFmtId="171" formatCode="\$#,##0.00"/>
    <numFmt numFmtId="172" formatCode="h:mm"/>
    <numFmt numFmtId="173" formatCode="\$#,##0_);[RED]&quot;($&quot;#,##0\)"/>
    <numFmt numFmtId="174" formatCode="d\-mmm"/>
    <numFmt numFmtId="175" formatCode="mm/dd/yy;@"/>
    <numFmt numFmtId="176" formatCode="#,##0_);\(#,##0\)"/>
    <numFmt numFmtId="177" formatCode="_(\$* #,##0.00_);_(\$* \(#,##0.00\);_(\$* \-??_);_(@_)"/>
    <numFmt numFmtId="178" formatCode="\$#,##0.00_);&quot;($&quot;#,##0.00\)"/>
    <numFmt numFmtId="179" formatCode="#,##0"/>
    <numFmt numFmtId="180" formatCode="General"/>
  </numFmts>
  <fonts count="45">
    <font>
      <sz val="11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name val="Arial"/>
      <family val="2"/>
      <charset val="1"/>
    </font>
    <font>
      <b val="true"/>
      <sz val="14"/>
      <color rgb="FF333399"/>
      <name val="Arial"/>
      <family val="2"/>
      <charset val="1"/>
    </font>
    <font>
      <b val="true"/>
      <sz val="12"/>
      <color rgb="FF333399"/>
      <name val="Arial"/>
      <family val="2"/>
      <charset val="1"/>
    </font>
    <font>
      <i val="true"/>
      <sz val="11"/>
      <name val="Arial"/>
      <family val="2"/>
      <charset val="1"/>
    </font>
    <font>
      <i val="true"/>
      <sz val="12"/>
      <name val="Book Antiqua"/>
      <family val="1"/>
      <charset val="1"/>
    </font>
    <font>
      <sz val="8"/>
      <name val="Arial"/>
      <family val="2"/>
      <charset val="1"/>
    </font>
    <font>
      <sz val="11"/>
      <name val="Trebuchet MS"/>
      <family val="2"/>
      <charset val="1"/>
    </font>
    <font>
      <b val="true"/>
      <sz val="11"/>
      <color rgb="FF000080"/>
      <name val="Arial"/>
      <family val="2"/>
      <charset val="1"/>
    </font>
    <font>
      <sz val="16"/>
      <color rgb="FFFF0000"/>
      <name val="Trebuchet MS"/>
      <family val="2"/>
      <charset val="1"/>
    </font>
    <font>
      <b val="true"/>
      <sz val="12"/>
      <color rgb="FF000000"/>
      <name val="Trebuchet MS"/>
      <family val="2"/>
      <charset val="1"/>
    </font>
    <font>
      <b val="true"/>
      <sz val="11"/>
      <name val="Trebuchet MS"/>
      <family val="2"/>
      <charset val="1"/>
    </font>
    <font>
      <b val="true"/>
      <sz val="16"/>
      <color rgb="FF666699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sz val="10"/>
      <color rgb="FF92D050"/>
      <name val="Arial"/>
      <family val="2"/>
      <charset val="1"/>
    </font>
    <font>
      <i val="true"/>
      <sz val="12"/>
      <color rgb="FF000000"/>
      <name val="Arial"/>
      <family val="2"/>
      <charset val="1"/>
    </font>
    <font>
      <b val="true"/>
      <sz val="18"/>
      <color rgb="FF333399"/>
      <name val="Arial"/>
      <family val="2"/>
      <charset val="1"/>
    </font>
    <font>
      <i val="true"/>
      <sz val="16"/>
      <color rgb="FF000000"/>
      <name val="Book Antiqua"/>
      <family val="0"/>
    </font>
    <font>
      <b val="true"/>
      <sz val="18"/>
      <color rgb="FF333399"/>
      <name val="Trebuchet MS"/>
      <family val="2"/>
      <charset val="1"/>
    </font>
    <font>
      <b val="true"/>
      <sz val="20"/>
      <color rgb="FFFF0000"/>
      <name val="Trebuchet MS"/>
      <family val="2"/>
      <charset val="1"/>
    </font>
    <font>
      <b val="true"/>
      <sz val="11"/>
      <color rgb="FFFFFFFF"/>
      <name val="Trebuchet MS"/>
      <family val="2"/>
      <charset val="1"/>
    </font>
    <font>
      <i val="true"/>
      <sz val="11"/>
      <name val="Calibri"/>
      <family val="0"/>
    </font>
    <font>
      <sz val="11"/>
      <color rgb="FFFF0000"/>
      <name val="Arial"/>
      <family val="2"/>
      <charset val="1"/>
    </font>
    <font>
      <b val="true"/>
      <sz val="20"/>
      <color rgb="FF000080"/>
      <name val="Trebuchet MS"/>
      <family val="2"/>
      <charset val="1"/>
    </font>
    <font>
      <sz val="10"/>
      <name val="Trebuchet MS"/>
      <family val="2"/>
      <charset val="1"/>
    </font>
    <font>
      <i val="true"/>
      <sz val="14"/>
      <color rgb="FF000000"/>
      <name val="Book Antiqua"/>
      <family val="0"/>
    </font>
    <font>
      <b val="true"/>
      <sz val="12"/>
      <color rgb="FF666699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0"/>
    </font>
    <font>
      <b val="true"/>
      <sz val="11"/>
      <name val="Arial"/>
      <family val="2"/>
      <charset val="1"/>
    </font>
    <font>
      <b val="true"/>
      <sz val="11"/>
      <color rgb="FF808080"/>
      <name val="Arial"/>
      <family val="2"/>
      <charset val="1"/>
    </font>
    <font>
      <b val="true"/>
      <u val="single"/>
      <sz val="10"/>
      <color rgb="FF00206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0"/>
      <color rgb="FF008000"/>
      <name val="Arial"/>
      <family val="2"/>
      <charset val="1"/>
    </font>
    <font>
      <u val="single"/>
      <sz val="10"/>
      <name val="Arial"/>
      <family val="2"/>
      <charset val="1"/>
    </font>
    <font>
      <b val="true"/>
      <sz val="12"/>
      <color rgb="FF002060"/>
      <name val="Arial"/>
      <family val="2"/>
      <charset val="1"/>
    </font>
    <font>
      <b val="true"/>
      <sz val="12"/>
      <name val="Arial"/>
      <family val="2"/>
      <charset val="1"/>
    </font>
    <font>
      <b val="true"/>
      <sz val="12"/>
      <color rgb="FFFF0000"/>
      <name val="Arial"/>
      <family val="2"/>
      <charset val="1"/>
    </font>
    <font>
      <i val="true"/>
      <sz val="1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7F7F7F"/>
        <bgColor rgb="FF808080"/>
      </patternFill>
    </fill>
    <fill>
      <patternFill patternType="solid">
        <fgColor rgb="FF002060"/>
        <bgColor rgb="FF000080"/>
      </patternFill>
    </fill>
    <fill>
      <patternFill patternType="solid">
        <fgColor rgb="FFFFFFFF"/>
        <bgColor rgb="FFFFFFCC"/>
      </patternFill>
    </fill>
    <fill>
      <patternFill patternType="solid">
        <fgColor rgb="FFC6D9F1"/>
        <bgColor rgb="FF99CCFF"/>
      </patternFill>
    </fill>
    <fill>
      <patternFill patternType="solid">
        <fgColor rgb="FFC3D69B"/>
        <bgColor rgb="FFC6D9F1"/>
      </patternFill>
    </fill>
  </fills>
  <borders count="17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</borders>
  <cellStyleXfs count="2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77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2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2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2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2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12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5" xfId="21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5" xfId="2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9" fillId="0" borderId="6" xfId="21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2" fillId="0" borderId="9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3" borderId="10" xfId="21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9" fillId="3" borderId="1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1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8" fontId="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21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12" fillId="0" borderId="0" xfId="21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21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4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3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4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6" fillId="0" borderId="0" xfId="21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21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5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3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5" fillId="0" borderId="1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35" fillId="0" borderId="1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5" fillId="0" borderId="0" xfId="21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35" fillId="0" borderId="15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9" fontId="5" fillId="0" borderId="1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35" fillId="0" borderId="1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5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5" fillId="0" borderId="16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21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3" fillId="0" borderId="1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4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4" fillId="0" borderId="0" xfId="22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3" fontId="4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0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3" fillId="0" borderId="1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3" fillId="0" borderId="10" xfId="2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4" borderId="0" xfId="2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7" fillId="4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4" xfId="2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14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3" fillId="5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8" fillId="4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9" fillId="4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0" fillId="4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3" fillId="5" borderId="14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8" fillId="4" borderId="14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4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0" xfId="2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1" fillId="0" borderId="0" xfId="2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80" fontId="8" fillId="0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0" fontId="43" fillId="0" borderId="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2" fillId="0" borderId="0" xfId="21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6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8" fillId="0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1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2 2" xfId="21"/>
    <cellStyle name="Normal_BeerSalesDatabase" xfId="22"/>
    <cellStyle name="Normal_Book1" xfId="23"/>
    <cellStyle name="Normal_New Tasks for 2004" xfId="24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3D69B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7F7F7F"/>
      <rgbColor rgb="FF002060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37.png"/><Relationship Id="rId2" Type="http://schemas.openxmlformats.org/officeDocument/2006/relationships/image" Target="../media/image38.png"/><Relationship Id="rId3" Type="http://schemas.openxmlformats.org/officeDocument/2006/relationships/image" Target="../media/image39.png"/><Relationship Id="rId4" Type="http://schemas.openxmlformats.org/officeDocument/2006/relationships/image" Target="../media/image40.png"/><Relationship Id="rId5" Type="http://schemas.openxmlformats.org/officeDocument/2006/relationships/image" Target="../media/image41.png"/><Relationship Id="rId6" Type="http://schemas.openxmlformats.org/officeDocument/2006/relationships/image" Target="../media/image42.png"/><Relationship Id="rId7" Type="http://schemas.openxmlformats.org/officeDocument/2006/relationships/image" Target="../media/image43.png"/><Relationship Id="rId8" Type="http://schemas.openxmlformats.org/officeDocument/2006/relationships/image" Target="../media/image44.png"/><Relationship Id="rId9" Type="http://schemas.openxmlformats.org/officeDocument/2006/relationships/image" Target="../media/image45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47.pn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8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285840</xdr:colOff>
      <xdr:row>10</xdr:row>
      <xdr:rowOff>47520</xdr:rowOff>
    </xdr:from>
    <xdr:to>
      <xdr:col>1</xdr:col>
      <xdr:colOff>427320</xdr:colOff>
      <xdr:row>10</xdr:row>
      <xdr:rowOff>169920</xdr:rowOff>
    </xdr:to>
    <xdr:pic>
      <xdr:nvPicPr>
        <xdr:cNvPr id="0" name="Picture 1" descr="BD21295_"/>
        <xdr:cNvPicPr/>
      </xdr:nvPicPr>
      <xdr:blipFill>
        <a:blip r:embed="rId1"/>
        <a:stretch/>
      </xdr:blipFill>
      <xdr:spPr>
        <a:xfrm>
          <a:off x="982080" y="2081880"/>
          <a:ext cx="141480" cy="122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9</xdr:row>
      <xdr:rowOff>38160</xdr:rowOff>
    </xdr:from>
    <xdr:to>
      <xdr:col>1</xdr:col>
      <xdr:colOff>427320</xdr:colOff>
      <xdr:row>9</xdr:row>
      <xdr:rowOff>160560</xdr:rowOff>
    </xdr:to>
    <xdr:pic>
      <xdr:nvPicPr>
        <xdr:cNvPr id="1" name="Picture 2" descr="BD21295_"/>
        <xdr:cNvPicPr/>
      </xdr:nvPicPr>
      <xdr:blipFill>
        <a:blip r:embed="rId2"/>
        <a:stretch/>
      </xdr:blipFill>
      <xdr:spPr>
        <a:xfrm>
          <a:off x="982080" y="1882080"/>
          <a:ext cx="141480" cy="122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13</xdr:row>
      <xdr:rowOff>47520</xdr:rowOff>
    </xdr:from>
    <xdr:to>
      <xdr:col>1</xdr:col>
      <xdr:colOff>427320</xdr:colOff>
      <xdr:row>13</xdr:row>
      <xdr:rowOff>169920</xdr:rowOff>
    </xdr:to>
    <xdr:pic>
      <xdr:nvPicPr>
        <xdr:cNvPr id="2" name="Picture 3" descr="BD21295_"/>
        <xdr:cNvPicPr/>
      </xdr:nvPicPr>
      <xdr:blipFill>
        <a:blip r:embed="rId3"/>
        <a:stretch/>
      </xdr:blipFill>
      <xdr:spPr>
        <a:xfrm>
          <a:off x="982080" y="2661120"/>
          <a:ext cx="141480" cy="122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14</xdr:row>
      <xdr:rowOff>47520</xdr:rowOff>
    </xdr:from>
    <xdr:to>
      <xdr:col>1</xdr:col>
      <xdr:colOff>427320</xdr:colOff>
      <xdr:row>14</xdr:row>
      <xdr:rowOff>169920</xdr:rowOff>
    </xdr:to>
    <xdr:pic>
      <xdr:nvPicPr>
        <xdr:cNvPr id="3" name="Picture 4" descr="BD21295_"/>
        <xdr:cNvPicPr/>
      </xdr:nvPicPr>
      <xdr:blipFill>
        <a:blip r:embed="rId4"/>
        <a:stretch/>
      </xdr:blipFill>
      <xdr:spPr>
        <a:xfrm>
          <a:off x="982080" y="2851560"/>
          <a:ext cx="141480" cy="122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11</xdr:row>
      <xdr:rowOff>47520</xdr:rowOff>
    </xdr:from>
    <xdr:to>
      <xdr:col>1</xdr:col>
      <xdr:colOff>427320</xdr:colOff>
      <xdr:row>11</xdr:row>
      <xdr:rowOff>169920</xdr:rowOff>
    </xdr:to>
    <xdr:pic>
      <xdr:nvPicPr>
        <xdr:cNvPr id="4" name="Picture 5" descr="BD21295_"/>
        <xdr:cNvPicPr/>
      </xdr:nvPicPr>
      <xdr:blipFill>
        <a:blip r:embed="rId5"/>
        <a:stretch/>
      </xdr:blipFill>
      <xdr:spPr>
        <a:xfrm>
          <a:off x="982080" y="2279880"/>
          <a:ext cx="141480" cy="122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17</xdr:row>
      <xdr:rowOff>47520</xdr:rowOff>
    </xdr:from>
    <xdr:to>
      <xdr:col>1</xdr:col>
      <xdr:colOff>427320</xdr:colOff>
      <xdr:row>17</xdr:row>
      <xdr:rowOff>169920</xdr:rowOff>
    </xdr:to>
    <xdr:pic>
      <xdr:nvPicPr>
        <xdr:cNvPr id="5" name="Picture 6" descr="BD21295_"/>
        <xdr:cNvPicPr/>
      </xdr:nvPicPr>
      <xdr:blipFill>
        <a:blip r:embed="rId6"/>
        <a:stretch/>
      </xdr:blipFill>
      <xdr:spPr>
        <a:xfrm>
          <a:off x="982080" y="3422880"/>
          <a:ext cx="141480" cy="122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12</xdr:row>
      <xdr:rowOff>47520</xdr:rowOff>
    </xdr:from>
    <xdr:to>
      <xdr:col>1</xdr:col>
      <xdr:colOff>427320</xdr:colOff>
      <xdr:row>12</xdr:row>
      <xdr:rowOff>169920</xdr:rowOff>
    </xdr:to>
    <xdr:pic>
      <xdr:nvPicPr>
        <xdr:cNvPr id="6" name="Picture 10" descr="BD21295_"/>
        <xdr:cNvPicPr/>
      </xdr:nvPicPr>
      <xdr:blipFill>
        <a:blip r:embed="rId7"/>
        <a:stretch/>
      </xdr:blipFill>
      <xdr:spPr>
        <a:xfrm>
          <a:off x="982080" y="2470680"/>
          <a:ext cx="141480" cy="122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16</xdr:row>
      <xdr:rowOff>47520</xdr:rowOff>
    </xdr:from>
    <xdr:to>
      <xdr:col>1</xdr:col>
      <xdr:colOff>427320</xdr:colOff>
      <xdr:row>16</xdr:row>
      <xdr:rowOff>169920</xdr:rowOff>
    </xdr:to>
    <xdr:pic>
      <xdr:nvPicPr>
        <xdr:cNvPr id="7" name="Picture 6" descr="BD21295_"/>
        <xdr:cNvPicPr/>
      </xdr:nvPicPr>
      <xdr:blipFill>
        <a:blip r:embed="rId8"/>
        <a:stretch/>
      </xdr:blipFill>
      <xdr:spPr>
        <a:xfrm>
          <a:off x="982080" y="3232440"/>
          <a:ext cx="141480" cy="122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285840</xdr:colOff>
      <xdr:row>15</xdr:row>
      <xdr:rowOff>47520</xdr:rowOff>
    </xdr:from>
    <xdr:to>
      <xdr:col>1</xdr:col>
      <xdr:colOff>427320</xdr:colOff>
      <xdr:row>15</xdr:row>
      <xdr:rowOff>169920</xdr:rowOff>
    </xdr:to>
    <xdr:pic>
      <xdr:nvPicPr>
        <xdr:cNvPr id="8" name="Picture 6" descr="BD21295_"/>
        <xdr:cNvPicPr/>
      </xdr:nvPicPr>
      <xdr:blipFill>
        <a:blip r:embed="rId9"/>
        <a:stretch/>
      </xdr:blipFill>
      <xdr:spPr>
        <a:xfrm>
          <a:off x="982080" y="3042000"/>
          <a:ext cx="141480" cy="1224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638280</xdr:colOff>
      <xdr:row>5</xdr:row>
      <xdr:rowOff>790560</xdr:rowOff>
    </xdr:from>
    <xdr:to>
      <xdr:col>4</xdr:col>
      <xdr:colOff>389160</xdr:colOff>
      <xdr:row>5</xdr:row>
      <xdr:rowOff>1074960</xdr:rowOff>
    </xdr:to>
    <xdr:sp>
      <xdr:nvSpPr>
        <xdr:cNvPr id="9" name="CustomShape 1"/>
        <xdr:cNvSpPr/>
      </xdr:nvSpPr>
      <xdr:spPr>
        <a:xfrm>
          <a:off x="2936880" y="1674360"/>
          <a:ext cx="2529720" cy="28440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  <xdr:txBody>
        <a:bodyPr lIns="27360" rIns="27360" tIns="27360" bIns="27360" anchor="ctr">
          <a:noAutofit/>
        </a:bodyPr>
        <a:p>
          <a:pPr algn="ctr">
            <a:lnSpc>
              <a:spcPct val="100000"/>
            </a:lnSpc>
          </a:pPr>
          <a:r>
            <a:rPr b="0" i="1" lang="en-US" sz="1600" spc="-1" strike="noStrike">
              <a:solidFill>
                <a:srgbClr val="000000"/>
              </a:solidFill>
              <a:latin typeface="Book Antiqua"/>
            </a:rPr>
            <a:t>Total Pay Report</a:t>
          </a:r>
          <a:endParaRPr b="0" lang="en-US" sz="1600" spc="-1" strike="noStrike">
            <a:latin typeface="Times New Roman"/>
          </a:endParaRPr>
        </a:p>
      </xdr:txBody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303480</xdr:colOff>
      <xdr:row>4</xdr:row>
      <xdr:rowOff>122400</xdr:rowOff>
    </xdr:to>
    <xdr:sp>
      <xdr:nvSpPr>
        <xdr:cNvPr id="10" name="CustomShape 1"/>
        <xdr:cNvSpPr/>
      </xdr:nvSpPr>
      <xdr:spPr>
        <a:xfrm>
          <a:off x="8508240" y="525600"/>
          <a:ext cx="303480" cy="29772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</xdr:col>
      <xdr:colOff>285840</xdr:colOff>
      <xdr:row>5</xdr:row>
      <xdr:rowOff>114480</xdr:rowOff>
    </xdr:from>
    <xdr:to>
      <xdr:col>1</xdr:col>
      <xdr:colOff>1017360</xdr:colOff>
      <xdr:row>6</xdr:row>
      <xdr:rowOff>164880</xdr:rowOff>
    </xdr:to>
    <xdr:pic>
      <xdr:nvPicPr>
        <xdr:cNvPr id="11" name="irc_mi" descr="http://sweetclipart.com/multisite/sweetclipart/files/smart_phone_icon.png"/>
        <xdr:cNvPicPr/>
      </xdr:nvPicPr>
      <xdr:blipFill>
        <a:blip r:embed="rId1"/>
        <a:stretch/>
      </xdr:blipFill>
      <xdr:spPr>
        <a:xfrm>
          <a:off x="866160" y="998280"/>
          <a:ext cx="731520" cy="12884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</xdr:col>
      <xdr:colOff>162000</xdr:colOff>
      <xdr:row>5</xdr:row>
      <xdr:rowOff>762120</xdr:rowOff>
    </xdr:from>
    <xdr:to>
      <xdr:col>5</xdr:col>
      <xdr:colOff>1722600</xdr:colOff>
      <xdr:row>5</xdr:row>
      <xdr:rowOff>998640</xdr:rowOff>
    </xdr:to>
    <xdr:sp>
      <xdr:nvSpPr>
        <xdr:cNvPr id="12" name="CustomShape 1"/>
        <xdr:cNvSpPr/>
      </xdr:nvSpPr>
      <xdr:spPr>
        <a:xfrm>
          <a:off x="2606400" y="1684080"/>
          <a:ext cx="3464640" cy="2365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  <xdr:txBody>
        <a:bodyPr lIns="27360" rIns="27360" tIns="27360" bIns="27360" anchor="ctr">
          <a:noAutofit/>
        </a:bodyPr>
        <a:p>
          <a:pPr algn="ctr">
            <a:lnSpc>
              <a:spcPct val="100000"/>
            </a:lnSpc>
          </a:pPr>
          <a:r>
            <a:rPr b="0" i="1" lang="en-US" sz="1100" spc="-1" strike="noStrike">
              <a:latin typeface="Calibri"/>
            </a:rPr>
            <a:t>Employee Name Report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1333440</xdr:colOff>
      <xdr:row>4</xdr:row>
      <xdr:rowOff>815760</xdr:rowOff>
    </xdr:from>
    <xdr:to>
      <xdr:col>4</xdr:col>
      <xdr:colOff>447840</xdr:colOff>
      <xdr:row>4</xdr:row>
      <xdr:rowOff>1052280</xdr:rowOff>
    </xdr:to>
    <xdr:sp>
      <xdr:nvSpPr>
        <xdr:cNvPr id="13" name="CustomShape 1"/>
        <xdr:cNvSpPr/>
      </xdr:nvSpPr>
      <xdr:spPr>
        <a:xfrm>
          <a:off x="2029680" y="1554840"/>
          <a:ext cx="3534120" cy="2365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  <xdr:txBody>
        <a:bodyPr lIns="27360" rIns="27360" tIns="27360" bIns="27360" anchor="ctr">
          <a:noAutofit/>
        </a:bodyPr>
        <a:p>
          <a:pPr algn="ctr">
            <a:lnSpc>
              <a:spcPct val="100000"/>
            </a:lnSpc>
          </a:pPr>
          <a:r>
            <a:rPr b="0" i="1" lang="en-US" sz="1400" spc="-1" strike="noStrike">
              <a:solidFill>
                <a:srgbClr val="000000"/>
              </a:solidFill>
              <a:latin typeface="Book Antiqua"/>
            </a:rPr>
            <a:t>Sales Summary</a:t>
          </a:r>
          <a:endParaRPr b="0" lang="en-US" sz="14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233640</xdr:colOff>
      <xdr:row>4</xdr:row>
      <xdr:rowOff>90000</xdr:rowOff>
    </xdr:from>
    <xdr:to>
      <xdr:col>1</xdr:col>
      <xdr:colOff>965160</xdr:colOff>
      <xdr:row>5</xdr:row>
      <xdr:rowOff>138600</xdr:rowOff>
    </xdr:to>
    <xdr:pic>
      <xdr:nvPicPr>
        <xdr:cNvPr id="14" name="irc_mi" descr="http://sweetclipart.com/multisite/sweetclipart/files/smart_phone_icon.png"/>
        <xdr:cNvPicPr/>
      </xdr:nvPicPr>
      <xdr:blipFill>
        <a:blip r:embed="rId1"/>
        <a:stretch/>
      </xdr:blipFill>
      <xdr:spPr>
        <a:xfrm>
          <a:off x="929880" y="829080"/>
          <a:ext cx="731520" cy="12866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200160</xdr:colOff>
      <xdr:row>10</xdr:row>
      <xdr:rowOff>28440</xdr:rowOff>
    </xdr:from>
    <xdr:to>
      <xdr:col>4</xdr:col>
      <xdr:colOff>455760</xdr:colOff>
      <xdr:row>16</xdr:row>
      <xdr:rowOff>55440</xdr:rowOff>
    </xdr:to>
    <xdr:sp>
      <xdr:nvSpPr>
        <xdr:cNvPr id="15" name="CustomShape 1"/>
        <xdr:cNvSpPr/>
      </xdr:nvSpPr>
      <xdr:spPr>
        <a:xfrm>
          <a:off x="896400" y="1750320"/>
          <a:ext cx="2113200" cy="1032840"/>
        </a:xfrm>
        <a:prstGeom prst="rect">
          <a:avLst/>
        </a:prstGeom>
        <a:solidFill>
          <a:srgbClr val="cfdfd3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  <xdr:txBody>
        <a:bodyPr lIns="90000" rIns="90000" tIns="91440" bIns="91440">
          <a:noAutofit/>
        </a:bodyPr>
        <a:p>
          <a:pPr>
            <a:lnSpc>
              <a:spcPct val="100000"/>
            </a:lnSpc>
          </a:pPr>
          <a:r>
            <a:rPr b="0" lang="en-US" sz="1000" spc="-1" strike="noStrike">
              <a:solidFill>
                <a:srgbClr val="000000"/>
              </a:solidFill>
              <a:latin typeface="Arial"/>
            </a:rPr>
            <a:t>Monthly Returns on Philip Morris stock in the 83 months from 1990 to mid-1997. The minimum return is -26.6 and the maximum return is 19.2. </a:t>
          </a:r>
          <a:endParaRPr b="0" lang="en-US" sz="1000" spc="-1" strike="noStrike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390600</xdr:colOff>
      <xdr:row>44</xdr:row>
      <xdr:rowOff>0</xdr:rowOff>
    </xdr:from>
    <xdr:to>
      <xdr:col>1</xdr:col>
      <xdr:colOff>522360</xdr:colOff>
      <xdr:row>44</xdr:row>
      <xdr:rowOff>131760</xdr:rowOff>
    </xdr:to>
    <xdr:sp>
      <xdr:nvSpPr>
        <xdr:cNvPr id="16" name="CustomShape 1"/>
        <xdr:cNvSpPr/>
      </xdr:nvSpPr>
      <xdr:spPr>
        <a:xfrm>
          <a:off x="1086840" y="7619760"/>
          <a:ext cx="131760" cy="13176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390600</xdr:colOff>
      <xdr:row>27</xdr:row>
      <xdr:rowOff>0</xdr:rowOff>
    </xdr:from>
    <xdr:to>
      <xdr:col>1</xdr:col>
      <xdr:colOff>522360</xdr:colOff>
      <xdr:row>27</xdr:row>
      <xdr:rowOff>131760</xdr:rowOff>
    </xdr:to>
    <xdr:sp>
      <xdr:nvSpPr>
        <xdr:cNvPr id="17" name="CustomShape 1"/>
        <xdr:cNvSpPr/>
      </xdr:nvSpPr>
      <xdr:spPr>
        <a:xfrm>
          <a:off x="1086840" y="4770000"/>
          <a:ext cx="131760" cy="13176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390600</xdr:colOff>
      <xdr:row>22</xdr:row>
      <xdr:rowOff>0</xdr:rowOff>
    </xdr:from>
    <xdr:to>
      <xdr:col>1</xdr:col>
      <xdr:colOff>522360</xdr:colOff>
      <xdr:row>22</xdr:row>
      <xdr:rowOff>131760</xdr:rowOff>
    </xdr:to>
    <xdr:sp>
      <xdr:nvSpPr>
        <xdr:cNvPr id="18" name="CustomShape 1"/>
        <xdr:cNvSpPr/>
      </xdr:nvSpPr>
      <xdr:spPr>
        <a:xfrm>
          <a:off x="1086840" y="3931920"/>
          <a:ext cx="131760" cy="13176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390600</xdr:colOff>
      <xdr:row>18</xdr:row>
      <xdr:rowOff>0</xdr:rowOff>
    </xdr:from>
    <xdr:to>
      <xdr:col>1</xdr:col>
      <xdr:colOff>522360</xdr:colOff>
      <xdr:row>18</xdr:row>
      <xdr:rowOff>131760</xdr:rowOff>
    </xdr:to>
    <xdr:sp>
      <xdr:nvSpPr>
        <xdr:cNvPr id="19" name="CustomShape 1"/>
        <xdr:cNvSpPr/>
      </xdr:nvSpPr>
      <xdr:spPr>
        <a:xfrm>
          <a:off x="1086840" y="3261240"/>
          <a:ext cx="131760" cy="13176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390600</xdr:colOff>
      <xdr:row>14</xdr:row>
      <xdr:rowOff>0</xdr:rowOff>
    </xdr:from>
    <xdr:to>
      <xdr:col>1</xdr:col>
      <xdr:colOff>522360</xdr:colOff>
      <xdr:row>14</xdr:row>
      <xdr:rowOff>131760</xdr:rowOff>
    </xdr:to>
    <xdr:sp>
      <xdr:nvSpPr>
        <xdr:cNvPr id="20" name="CustomShape 1"/>
        <xdr:cNvSpPr/>
      </xdr:nvSpPr>
      <xdr:spPr>
        <a:xfrm>
          <a:off x="1086840" y="2590560"/>
          <a:ext cx="131760" cy="13176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390600</xdr:colOff>
      <xdr:row>7</xdr:row>
      <xdr:rowOff>0</xdr:rowOff>
    </xdr:from>
    <xdr:to>
      <xdr:col>1</xdr:col>
      <xdr:colOff>522360</xdr:colOff>
      <xdr:row>7</xdr:row>
      <xdr:rowOff>131760</xdr:rowOff>
    </xdr:to>
    <xdr:sp>
      <xdr:nvSpPr>
        <xdr:cNvPr id="21" name="CustomShape 1"/>
        <xdr:cNvSpPr/>
      </xdr:nvSpPr>
      <xdr:spPr>
        <a:xfrm>
          <a:off x="1086840" y="1417320"/>
          <a:ext cx="131760" cy="13176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399960</xdr:colOff>
      <xdr:row>38</xdr:row>
      <xdr:rowOff>9360</xdr:rowOff>
    </xdr:from>
    <xdr:to>
      <xdr:col>1</xdr:col>
      <xdr:colOff>531720</xdr:colOff>
      <xdr:row>38</xdr:row>
      <xdr:rowOff>141120</xdr:rowOff>
    </xdr:to>
    <xdr:sp>
      <xdr:nvSpPr>
        <xdr:cNvPr id="22" name="CustomShape 1"/>
        <xdr:cNvSpPr/>
      </xdr:nvSpPr>
      <xdr:spPr>
        <a:xfrm>
          <a:off x="1096200" y="6623280"/>
          <a:ext cx="131760" cy="13176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twoCell">
    <xdr:from>
      <xdr:col>1</xdr:col>
      <xdr:colOff>409680</xdr:colOff>
      <xdr:row>33</xdr:row>
      <xdr:rowOff>0</xdr:rowOff>
    </xdr:from>
    <xdr:to>
      <xdr:col>1</xdr:col>
      <xdr:colOff>541440</xdr:colOff>
      <xdr:row>33</xdr:row>
      <xdr:rowOff>131760</xdr:rowOff>
    </xdr:to>
    <xdr:sp>
      <xdr:nvSpPr>
        <xdr:cNvPr id="23" name="CustomShape 1"/>
        <xdr:cNvSpPr/>
      </xdr:nvSpPr>
      <xdr:spPr>
        <a:xfrm>
          <a:off x="1105920" y="5775840"/>
          <a:ext cx="131760" cy="131760"/>
        </a:xfrm>
        <a:prstGeom prst="rect">
          <a:avLst/>
        </a:prstGeom>
        <a:solidFill>
          <a:srgbClr val="333399"/>
        </a:solidFill>
        <a:ln w="9360">
          <a:solidFill>
            <a:srgbClr val="333399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image" Target="../media/image46.png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333399"/>
    <pageSetUpPr fitToPage="false"/>
  </sheetPr>
  <dimension ref="B4:C31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D48" activeCellId="0" sqref="D48"/>
    </sheetView>
  </sheetViews>
  <sheetFormatPr defaultColWidth="8.9921875" defaultRowHeight="15" zeroHeight="false" outlineLevelRow="0" outlineLevelCol="0"/>
  <cols>
    <col collapsed="false" customWidth="false" hidden="false" outlineLevel="0" max="1" min="1" style="1" width="9"/>
    <col collapsed="false" customWidth="true" hidden="false" outlineLevel="0" max="2" min="2" style="1" width="6.8"/>
    <col collapsed="false" customWidth="false" hidden="false" outlineLevel="0" max="1024" min="3" style="1" width="9"/>
  </cols>
  <sheetData>
    <row r="4" customFormat="false" ht="17.4" hidden="false" customHeight="false" outlineLevel="0" collapsed="false">
      <c r="B4" s="2"/>
    </row>
    <row r="5" customFormat="false" ht="17.4" hidden="false" customHeight="false" outlineLevel="0" collapsed="false">
      <c r="B5" s="3"/>
    </row>
    <row r="6" customFormat="false" ht="17.4" hidden="false" customHeight="false" outlineLevel="0" collapsed="false">
      <c r="B6" s="4" t="s">
        <v>0</v>
      </c>
    </row>
    <row r="7" customFormat="false" ht="17.4" hidden="false" customHeight="false" outlineLevel="0" collapsed="false">
      <c r="B7" s="5"/>
    </row>
    <row r="9" customFormat="false" ht="15.6" hidden="false" customHeight="false" outlineLevel="0" collapsed="false">
      <c r="B9" s="6" t="s">
        <v>1</v>
      </c>
    </row>
    <row r="10" customFormat="false" ht="15" hidden="false" customHeight="false" outlineLevel="0" collapsed="false">
      <c r="C10" s="7" t="s">
        <v>2</v>
      </c>
    </row>
    <row r="11" customFormat="false" ht="15.6" hidden="false" customHeight="false" outlineLevel="0" collapsed="false">
      <c r="C11" s="7" t="s">
        <v>3</v>
      </c>
    </row>
    <row r="12" customFormat="false" ht="15" hidden="false" customHeight="false" outlineLevel="0" collapsed="false">
      <c r="C12" s="7" t="s">
        <v>4</v>
      </c>
    </row>
    <row r="13" customFormat="false" ht="15" hidden="false" customHeight="false" outlineLevel="0" collapsed="false">
      <c r="C13" s="7" t="s">
        <v>5</v>
      </c>
    </row>
    <row r="14" customFormat="false" ht="15" hidden="false" customHeight="false" outlineLevel="0" collapsed="false">
      <c r="C14" s="1" t="s">
        <v>6</v>
      </c>
    </row>
    <row r="15" customFormat="false" ht="15" hidden="false" customHeight="false" outlineLevel="0" collapsed="false">
      <c r="C15" s="7" t="s">
        <v>7</v>
      </c>
    </row>
    <row r="16" customFormat="false" ht="15" hidden="false" customHeight="false" outlineLevel="0" collapsed="false">
      <c r="C16" s="7" t="s">
        <v>8</v>
      </c>
    </row>
    <row r="17" customFormat="false" ht="15" hidden="false" customHeight="false" outlineLevel="0" collapsed="false">
      <c r="C17" s="7" t="s">
        <v>9</v>
      </c>
    </row>
    <row r="18" customFormat="false" ht="15" hidden="false" customHeight="false" outlineLevel="0" collapsed="false">
      <c r="C18" s="7" t="s">
        <v>10</v>
      </c>
    </row>
    <row r="19" customFormat="false" ht="15" hidden="false" customHeight="false" outlineLevel="0" collapsed="false">
      <c r="C19" s="7"/>
    </row>
    <row r="20" customFormat="false" ht="16.2" hidden="false" customHeight="false" outlineLevel="0" collapsed="false">
      <c r="C20" s="8" t="s">
        <v>11</v>
      </c>
    </row>
    <row r="24" customFormat="false" ht="15.6" hidden="false" customHeight="false" outlineLevel="0" collapsed="false">
      <c r="B24" s="9"/>
    </row>
    <row r="31" customFormat="false" ht="15" hidden="false" customHeight="false" outlineLevel="0" collapsed="false">
      <c r="B31" s="10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O223"/>
  <sheetViews>
    <sheetView showFormulas="false" showGridLines="false" showRowColHeaders="true" showZeros="true" rightToLeft="false" tabSelected="true" showOutlineSymbols="true" defaultGridColor="true" view="normal" topLeftCell="A7" colorId="64" zoomScale="90" zoomScaleNormal="90" zoomScalePageLayoutView="100" workbookViewId="0">
      <selection pane="topLeft" activeCell="K15" activeCellId="0" sqref="K15"/>
    </sheetView>
  </sheetViews>
  <sheetFormatPr defaultColWidth="8.9921875" defaultRowHeight="14.4" zeroHeight="false" outlineLevelRow="0" outlineLevelCol="0"/>
  <cols>
    <col collapsed="false" customWidth="false" hidden="false" outlineLevel="0" max="1" min="1" style="11" width="9"/>
    <col collapsed="false" customWidth="true" hidden="false" outlineLevel="0" max="2" min="2" style="11" width="9.5"/>
    <col collapsed="false" customWidth="true" hidden="false" outlineLevel="0" max="3" min="3" style="11" width="10.1"/>
    <col collapsed="false" customWidth="true" hidden="false" outlineLevel="0" max="4" min="4" style="11" width="10.8"/>
    <col collapsed="false" customWidth="true" hidden="false" outlineLevel="0" max="5" min="5" style="11" width="12"/>
    <col collapsed="false" customWidth="true" hidden="false" outlineLevel="0" max="6" min="6" style="11" width="11.1"/>
    <col collapsed="false" customWidth="true" hidden="false" outlineLevel="0" max="7" min="7" style="11" width="9.8"/>
    <col collapsed="false" customWidth="true" hidden="false" outlineLevel="0" max="8" min="8" style="11" width="10.59"/>
    <col collapsed="false" customWidth="true" hidden="false" outlineLevel="0" max="9" min="9" style="11" width="10.8"/>
    <col collapsed="false" customWidth="true" hidden="false" outlineLevel="0" max="10" min="10" style="11" width="11.1"/>
    <col collapsed="false" customWidth="false" hidden="false" outlineLevel="0" max="1024" min="11" style="11" width="9"/>
  </cols>
  <sheetData>
    <row r="2" customFormat="false" ht="14.4" hidden="false" customHeight="false" outlineLevel="0" collapsed="false">
      <c r="B2" s="12"/>
    </row>
    <row r="3" customFormat="false" ht="14.4" hidden="false" customHeight="false" outlineLevel="0" collapsed="false">
      <c r="B3" s="12" t="s">
        <v>12</v>
      </c>
    </row>
    <row r="4" customFormat="false" ht="22.2" hidden="false" customHeight="false" outlineLevel="0" collapsed="false">
      <c r="C4" s="13"/>
      <c r="D4" s="13"/>
    </row>
    <row r="5" customFormat="false" ht="16.2" hidden="false" customHeight="false" outlineLevel="0" collapsed="false">
      <c r="C5" s="14"/>
      <c r="D5" s="14"/>
      <c r="F5" s="15"/>
    </row>
    <row r="6" customFormat="false" ht="21" hidden="false" customHeight="false" outlineLevel="0" collapsed="false">
      <c r="B6" s="16" t="s">
        <v>13</v>
      </c>
    </row>
    <row r="7" customFormat="false" ht="15.6" hidden="false" customHeight="false" outlineLevel="0" collapsed="false">
      <c r="B7" s="17" t="s">
        <v>14</v>
      </c>
    </row>
    <row r="9" customFormat="false" ht="35.25" hidden="false" customHeight="true" outlineLevel="0" collapsed="false">
      <c r="B9" s="18" t="s">
        <v>15</v>
      </c>
      <c r="C9" s="18" t="s">
        <v>16</v>
      </c>
      <c r="D9" s="18" t="s">
        <v>17</v>
      </c>
      <c r="E9" s="19" t="s">
        <v>18</v>
      </c>
      <c r="F9" s="19" t="s">
        <v>19</v>
      </c>
      <c r="G9" s="19" t="s">
        <v>20</v>
      </c>
      <c r="H9" s="18" t="s">
        <v>21</v>
      </c>
      <c r="I9" s="19" t="s">
        <v>22</v>
      </c>
      <c r="J9" s="18" t="s">
        <v>23</v>
      </c>
      <c r="M9" s="11" t="s">
        <v>16</v>
      </c>
      <c r="N9" s="11" t="s">
        <v>24</v>
      </c>
      <c r="O9" s="11" t="s">
        <v>22</v>
      </c>
    </row>
    <row r="10" customFormat="false" ht="13.8" hidden="false" customHeight="false" outlineLevel="0" collapsed="false">
      <c r="B10" s="20" t="n">
        <v>1</v>
      </c>
      <c r="C10" s="21" t="s">
        <v>25</v>
      </c>
      <c r="D10" s="21" t="s">
        <v>26</v>
      </c>
      <c r="E10" s="22" t="n">
        <v>41456</v>
      </c>
      <c r="F10" s="23" t="n">
        <v>0.375</v>
      </c>
      <c r="G10" s="23" t="n">
        <v>0.708333333333333</v>
      </c>
      <c r="H10" s="24" t="n">
        <f aca="false">(G10-F10)*24</f>
        <v>7.99999999999999</v>
      </c>
      <c r="I10" s="25" t="n">
        <f aca="false">VLOOKUP(C10,$M$10:$O$12,3)</f>
        <v>200</v>
      </c>
      <c r="J10" s="26" t="n">
        <f aca="false">H10*I10*24</f>
        <v>38399.9999999999</v>
      </c>
      <c r="M10" s="11" t="s">
        <v>25</v>
      </c>
      <c r="N10" s="11" t="s">
        <v>27</v>
      </c>
      <c r="O10" s="27" t="n">
        <v>200</v>
      </c>
    </row>
    <row r="11" customFormat="false" ht="13.8" hidden="false" customHeight="false" outlineLevel="0" collapsed="false">
      <c r="B11" s="20" t="n">
        <v>2</v>
      </c>
      <c r="C11" s="21" t="s">
        <v>28</v>
      </c>
      <c r="D11" s="21" t="s">
        <v>29</v>
      </c>
      <c r="E11" s="22" t="n">
        <v>41462</v>
      </c>
      <c r="F11" s="23" t="n">
        <v>0.354166666666667</v>
      </c>
      <c r="G11" s="23" t="n">
        <v>0.6875</v>
      </c>
      <c r="H11" s="24" t="n">
        <f aca="false">(G11-F11)*24</f>
        <v>7.99999999999999</v>
      </c>
      <c r="I11" s="25" t="n">
        <f aca="false">VLOOKUP(C11,$M$10:$O$12,3)</f>
        <v>150</v>
      </c>
      <c r="J11" s="28" t="n">
        <f aca="false">H11*I11*24</f>
        <v>28800</v>
      </c>
      <c r="M11" s="11" t="s">
        <v>28</v>
      </c>
      <c r="N11" s="11" t="s">
        <v>30</v>
      </c>
      <c r="O11" s="27" t="n">
        <v>150</v>
      </c>
    </row>
    <row r="12" customFormat="false" ht="13.8" hidden="false" customHeight="false" outlineLevel="0" collapsed="false">
      <c r="B12" s="20" t="n">
        <v>2</v>
      </c>
      <c r="C12" s="21" t="s">
        <v>28</v>
      </c>
      <c r="D12" s="21" t="s">
        <v>31</v>
      </c>
      <c r="E12" s="22" t="n">
        <v>41461</v>
      </c>
      <c r="F12" s="23" t="n">
        <v>0.354166666666667</v>
      </c>
      <c r="G12" s="23" t="n">
        <v>0.6875</v>
      </c>
      <c r="H12" s="24" t="n">
        <f aca="false">(G12-F12)*24</f>
        <v>7.99999999999999</v>
      </c>
      <c r="I12" s="25" t="n">
        <f aca="false">VLOOKUP(C12,$M$10:$O$12,3)</f>
        <v>150</v>
      </c>
      <c r="J12" s="28" t="n">
        <f aca="false">H12*I12*24</f>
        <v>28800</v>
      </c>
      <c r="M12" s="11" t="s">
        <v>32</v>
      </c>
      <c r="N12" s="11" t="s">
        <v>33</v>
      </c>
      <c r="O12" s="27" t="n">
        <v>95</v>
      </c>
    </row>
    <row r="13" customFormat="false" ht="13.8" hidden="false" customHeight="false" outlineLevel="0" collapsed="false">
      <c r="B13" s="20" t="n">
        <v>3</v>
      </c>
      <c r="C13" s="21" t="s">
        <v>32</v>
      </c>
      <c r="D13" s="21" t="s">
        <v>34</v>
      </c>
      <c r="E13" s="22" t="n">
        <v>41462</v>
      </c>
      <c r="F13" s="23" t="n">
        <v>0.354166666666667</v>
      </c>
      <c r="G13" s="23" t="n">
        <v>0.6875</v>
      </c>
      <c r="H13" s="24" t="n">
        <f aca="false">(G13-F13)*24</f>
        <v>7.99999999999999</v>
      </c>
      <c r="I13" s="25" t="n">
        <f aca="false">VLOOKUP(C13,$M$10:$O$12,3)</f>
        <v>95</v>
      </c>
      <c r="J13" s="28" t="n">
        <f aca="false">H13*I13*24</f>
        <v>18240</v>
      </c>
    </row>
    <row r="14" customFormat="false" ht="13.8" hidden="false" customHeight="false" outlineLevel="0" collapsed="false">
      <c r="B14" s="20" t="n">
        <v>3</v>
      </c>
      <c r="C14" s="21" t="s">
        <v>32</v>
      </c>
      <c r="D14" s="21" t="s">
        <v>35</v>
      </c>
      <c r="E14" s="22" t="n">
        <v>41461</v>
      </c>
      <c r="F14" s="23" t="n">
        <v>0.354166666666667</v>
      </c>
      <c r="G14" s="23" t="n">
        <v>0.6875</v>
      </c>
      <c r="H14" s="24" t="n">
        <f aca="false">(G14-F14)*24</f>
        <v>7.99999999999999</v>
      </c>
      <c r="I14" s="25" t="n">
        <f aca="false">VLOOKUP(C14,$M$10:$O$12,3)</f>
        <v>95</v>
      </c>
      <c r="J14" s="28" t="n">
        <f aca="false">H14*I14*24</f>
        <v>18240</v>
      </c>
    </row>
    <row r="15" customFormat="false" ht="13.8" hidden="false" customHeight="false" outlineLevel="0" collapsed="false">
      <c r="B15" s="20" t="n">
        <v>4</v>
      </c>
      <c r="C15" s="21" t="s">
        <v>32</v>
      </c>
      <c r="D15" s="21" t="s">
        <v>36</v>
      </c>
      <c r="E15" s="22" t="n">
        <v>41467</v>
      </c>
      <c r="F15" s="23" t="n">
        <v>0.354166666666667</v>
      </c>
      <c r="G15" s="23" t="n">
        <v>0.6875</v>
      </c>
      <c r="H15" s="24" t="n">
        <f aca="false">(G15-F15)*24</f>
        <v>7.99999999999999</v>
      </c>
      <c r="I15" s="25" t="n">
        <f aca="false">VLOOKUP(C15,$M$10:$O$12,3)</f>
        <v>95</v>
      </c>
      <c r="J15" s="28" t="n">
        <f aca="false">H15*I15*24</f>
        <v>18240</v>
      </c>
    </row>
    <row r="16" customFormat="false" ht="13.8" hidden="false" customHeight="false" outlineLevel="0" collapsed="false">
      <c r="B16" s="20" t="n">
        <v>4</v>
      </c>
      <c r="C16" s="21" t="s">
        <v>32</v>
      </c>
      <c r="D16" s="21" t="s">
        <v>37</v>
      </c>
      <c r="E16" s="22" t="n">
        <v>41468</v>
      </c>
      <c r="F16" s="23" t="n">
        <v>0.354166666666667</v>
      </c>
      <c r="G16" s="23" t="n">
        <v>0.708333333333333</v>
      </c>
      <c r="H16" s="24" t="n">
        <f aca="false">(G16-F16)*24</f>
        <v>8.49999999999998</v>
      </c>
      <c r="I16" s="25" t="n">
        <f aca="false">VLOOKUP(C16,$M$10:$O$12,3)</f>
        <v>95</v>
      </c>
      <c r="J16" s="28" t="n">
        <f aca="false">H16*I16*24</f>
        <v>19380</v>
      </c>
    </row>
    <row r="17" customFormat="false" ht="13.8" hidden="false" customHeight="false" outlineLevel="0" collapsed="false">
      <c r="B17" s="20" t="n">
        <v>4</v>
      </c>
      <c r="C17" s="21" t="s">
        <v>32</v>
      </c>
      <c r="D17" s="21" t="s">
        <v>26</v>
      </c>
      <c r="E17" s="22" t="n">
        <v>41469</v>
      </c>
      <c r="F17" s="23" t="n">
        <v>0.354166666666667</v>
      </c>
      <c r="G17" s="23" t="n">
        <v>0.708333333333333</v>
      </c>
      <c r="H17" s="24" t="n">
        <f aca="false">(G17-F17)*24</f>
        <v>8.49999999999998</v>
      </c>
      <c r="I17" s="25" t="n">
        <f aca="false">VLOOKUP(C17,$M$10:$O$12,3)</f>
        <v>95</v>
      </c>
      <c r="J17" s="28" t="n">
        <f aca="false">H17*I17*24</f>
        <v>19380</v>
      </c>
    </row>
    <row r="18" customFormat="false" ht="13.8" hidden="false" customHeight="false" outlineLevel="0" collapsed="false">
      <c r="B18" s="20" t="n">
        <v>4</v>
      </c>
      <c r="C18" s="21" t="s">
        <v>32</v>
      </c>
      <c r="D18" s="21" t="s">
        <v>29</v>
      </c>
      <c r="E18" s="22" t="n">
        <v>41472</v>
      </c>
      <c r="F18" s="23" t="n">
        <v>0.458333333333333</v>
      </c>
      <c r="G18" s="23" t="n">
        <v>0.6875</v>
      </c>
      <c r="H18" s="24" t="n">
        <f aca="false">(G18-F18)*24</f>
        <v>5.50000000000001</v>
      </c>
      <c r="I18" s="25" t="n">
        <f aca="false">VLOOKUP(C18,$M$10:$O$12,3)</f>
        <v>95</v>
      </c>
      <c r="J18" s="28" t="n">
        <f aca="false">H18*I18*24</f>
        <v>12540</v>
      </c>
    </row>
    <row r="19" customFormat="false" ht="13.8" hidden="false" customHeight="false" outlineLevel="0" collapsed="false">
      <c r="B19" s="20" t="n">
        <v>4</v>
      </c>
      <c r="C19" s="21" t="s">
        <v>32</v>
      </c>
      <c r="D19" s="21" t="s">
        <v>31</v>
      </c>
      <c r="E19" s="22" t="n">
        <v>41472</v>
      </c>
      <c r="F19" s="23" t="n">
        <v>0.354166666666667</v>
      </c>
      <c r="G19" s="23" t="n">
        <v>0.75</v>
      </c>
      <c r="H19" s="24" t="n">
        <f aca="false">(G19-F19)*24</f>
        <v>9.49999999999999</v>
      </c>
      <c r="I19" s="25" t="n">
        <f aca="false">VLOOKUP(C19,$M$10:$O$12,3)</f>
        <v>95</v>
      </c>
      <c r="J19" s="28" t="n">
        <f aca="false">H19*I19*24</f>
        <v>21660</v>
      </c>
    </row>
    <row r="20" customFormat="false" ht="13.8" hidden="false" customHeight="false" outlineLevel="0" collapsed="false">
      <c r="B20" s="20" t="n">
        <v>5</v>
      </c>
      <c r="C20" s="21" t="s">
        <v>25</v>
      </c>
      <c r="D20" s="21" t="s">
        <v>34</v>
      </c>
      <c r="E20" s="22" t="n">
        <v>41465</v>
      </c>
      <c r="F20" s="23" t="n">
        <v>0.4375</v>
      </c>
      <c r="G20" s="23" t="n">
        <v>0.75</v>
      </c>
      <c r="H20" s="24" t="n">
        <f aca="false">(G20-F20)*24</f>
        <v>7.5</v>
      </c>
      <c r="I20" s="25" t="n">
        <f aca="false">VLOOKUP(C20,$M$10:$O$12,3)</f>
        <v>200</v>
      </c>
      <c r="J20" s="28" t="n">
        <f aca="false">H20*I20*24</f>
        <v>36000</v>
      </c>
    </row>
    <row r="21" customFormat="false" ht="13.8" hidden="false" customHeight="false" outlineLevel="0" collapsed="false">
      <c r="B21" s="20" t="n">
        <v>5</v>
      </c>
      <c r="C21" s="21" t="s">
        <v>25</v>
      </c>
      <c r="D21" s="21" t="s">
        <v>35</v>
      </c>
      <c r="E21" s="22" t="n">
        <v>41466</v>
      </c>
      <c r="F21" s="23" t="n">
        <v>0.354166666666667</v>
      </c>
      <c r="G21" s="23" t="n">
        <v>0.708333333333333</v>
      </c>
      <c r="H21" s="24" t="n">
        <f aca="false">(G21-F21)*24</f>
        <v>8.49999999999998</v>
      </c>
      <c r="I21" s="25" t="n">
        <f aca="false">VLOOKUP(C21,$M$10:$O$12,3)</f>
        <v>200</v>
      </c>
      <c r="J21" s="28" t="n">
        <f aca="false">H21*I21*24</f>
        <v>40799.9999999999</v>
      </c>
    </row>
    <row r="22" customFormat="false" ht="13.8" hidden="false" customHeight="false" outlineLevel="0" collapsed="false">
      <c r="B22" s="20" t="n">
        <v>6</v>
      </c>
      <c r="C22" s="21" t="s">
        <v>32</v>
      </c>
      <c r="D22" s="21" t="s">
        <v>36</v>
      </c>
      <c r="E22" s="22" t="n">
        <v>41472</v>
      </c>
      <c r="F22" s="23" t="n">
        <v>0.354166666666667</v>
      </c>
      <c r="G22" s="23" t="n">
        <v>0.729166666666667</v>
      </c>
      <c r="H22" s="24" t="n">
        <f aca="false">(G22-F22)*24</f>
        <v>9</v>
      </c>
      <c r="I22" s="25" t="n">
        <f aca="false">VLOOKUP(C22,$M$10:$O$12,3)</f>
        <v>95</v>
      </c>
      <c r="J22" s="28" t="n">
        <f aca="false">H22*I22*24</f>
        <v>20520</v>
      </c>
    </row>
    <row r="23" customFormat="false" ht="13.8" hidden="false" customHeight="false" outlineLevel="0" collapsed="false">
      <c r="B23" s="20" t="n">
        <v>6</v>
      </c>
      <c r="C23" s="21" t="s">
        <v>32</v>
      </c>
      <c r="D23" s="21" t="s">
        <v>37</v>
      </c>
      <c r="E23" s="22" t="n">
        <v>41472</v>
      </c>
      <c r="F23" s="23" t="n">
        <v>0.354166666666667</v>
      </c>
      <c r="G23" s="23" t="n">
        <v>0.75</v>
      </c>
      <c r="H23" s="24" t="n">
        <f aca="false">(G23-F23)*24</f>
        <v>9.49999999999999</v>
      </c>
      <c r="I23" s="25" t="n">
        <f aca="false">VLOOKUP(C23,$M$10:$O$12,3)</f>
        <v>95</v>
      </c>
      <c r="J23" s="28" t="n">
        <f aca="false">H23*I23*24</f>
        <v>21660</v>
      </c>
    </row>
    <row r="24" customFormat="false" ht="13.8" hidden="false" customHeight="false" outlineLevel="0" collapsed="false">
      <c r="B24" s="20" t="n">
        <v>7</v>
      </c>
      <c r="C24" s="21" t="s">
        <v>28</v>
      </c>
      <c r="D24" s="21" t="s">
        <v>38</v>
      </c>
      <c r="E24" s="22" t="n">
        <v>41466</v>
      </c>
      <c r="F24" s="23" t="n">
        <v>0.354166666666667</v>
      </c>
      <c r="G24" s="23" t="n">
        <v>0.583333333333333</v>
      </c>
      <c r="H24" s="24" t="n">
        <f aca="false">(G24-F24)*24</f>
        <v>5.49999999999998</v>
      </c>
      <c r="I24" s="25" t="n">
        <f aca="false">VLOOKUP(C24,$M$10:$O$12,3)</f>
        <v>150</v>
      </c>
      <c r="J24" s="28" t="n">
        <f aca="false">H24*I24*24</f>
        <v>19799.9999999999</v>
      </c>
    </row>
    <row r="25" customFormat="false" ht="13.8" hidden="false" customHeight="false" outlineLevel="0" collapsed="false">
      <c r="B25" s="20" t="n">
        <v>7</v>
      </c>
      <c r="C25" s="21" t="s">
        <v>28</v>
      </c>
      <c r="D25" s="21" t="s">
        <v>39</v>
      </c>
      <c r="E25" s="22" t="n">
        <v>41467</v>
      </c>
      <c r="F25" s="23" t="n">
        <v>0.354166666666667</v>
      </c>
      <c r="G25" s="23" t="n">
        <v>0.614583333333333</v>
      </c>
      <c r="H25" s="24" t="n">
        <f aca="false">(G25-F25)*24</f>
        <v>6.24999999999998</v>
      </c>
      <c r="I25" s="25" t="n">
        <f aca="false">VLOOKUP(C25,$M$10:$O$12,3)</f>
        <v>150</v>
      </c>
      <c r="J25" s="28" t="n">
        <f aca="false">H25*I25*24</f>
        <v>22499.9999999999</v>
      </c>
    </row>
    <row r="26" customFormat="false" ht="13.8" hidden="false" customHeight="false" outlineLevel="0" collapsed="false">
      <c r="B26" s="20" t="n">
        <v>8</v>
      </c>
      <c r="C26" s="21" t="s">
        <v>28</v>
      </c>
      <c r="D26" s="21" t="s">
        <v>40</v>
      </c>
      <c r="E26" s="22" t="n">
        <v>41466</v>
      </c>
      <c r="F26" s="23" t="n">
        <v>0.541666666666667</v>
      </c>
      <c r="G26" s="23" t="n">
        <v>0.708333333333333</v>
      </c>
      <c r="H26" s="24" t="n">
        <f aca="false">(G26-F26)*24</f>
        <v>3.99999999999998</v>
      </c>
      <c r="I26" s="25" t="n">
        <f aca="false">VLOOKUP(C26,$M$10:$O$12,3)</f>
        <v>150</v>
      </c>
      <c r="J26" s="28" t="n">
        <f aca="false">H26*I26*24</f>
        <v>14399.9999999999</v>
      </c>
    </row>
    <row r="27" customFormat="false" ht="13.8" hidden="false" customHeight="false" outlineLevel="0" collapsed="false">
      <c r="B27" s="20" t="n">
        <v>8</v>
      </c>
      <c r="C27" s="21" t="s">
        <v>28</v>
      </c>
      <c r="D27" s="21" t="s">
        <v>38</v>
      </c>
      <c r="E27" s="22" t="n">
        <v>41467</v>
      </c>
      <c r="F27" s="23" t="n">
        <v>0.375</v>
      </c>
      <c r="G27" s="23" t="n">
        <v>0.739583333333333</v>
      </c>
      <c r="H27" s="24" t="n">
        <f aca="false">(G27-F27)*24</f>
        <v>8.74999999999999</v>
      </c>
      <c r="I27" s="25" t="n">
        <f aca="false">VLOOKUP(C27,$M$10:$O$12,3)</f>
        <v>150</v>
      </c>
      <c r="J27" s="28" t="n">
        <f aca="false">H27*I27*24</f>
        <v>31500</v>
      </c>
    </row>
    <row r="28" customFormat="false" ht="13.8" hidden="false" customHeight="false" outlineLevel="0" collapsed="false">
      <c r="B28" s="20" t="n">
        <v>9</v>
      </c>
      <c r="C28" s="21" t="s">
        <v>25</v>
      </c>
      <c r="D28" s="21" t="s">
        <v>39</v>
      </c>
      <c r="E28" s="22" t="n">
        <v>41472</v>
      </c>
      <c r="F28" s="23" t="n">
        <v>0.416666666666667</v>
      </c>
      <c r="G28" s="23" t="n">
        <v>0.75</v>
      </c>
      <c r="H28" s="24" t="n">
        <f aca="false">(G28-F28)*24</f>
        <v>7.99999999999999</v>
      </c>
      <c r="I28" s="25" t="n">
        <f aca="false">VLOOKUP(C28,$M$10:$O$12,3)</f>
        <v>200</v>
      </c>
      <c r="J28" s="28" t="n">
        <f aca="false">H28*I28*24</f>
        <v>38399.9999999999</v>
      </c>
    </row>
    <row r="29" customFormat="false" ht="13.8" hidden="false" customHeight="false" outlineLevel="0" collapsed="false">
      <c r="B29" s="20" t="n">
        <v>9</v>
      </c>
      <c r="C29" s="21" t="s">
        <v>25</v>
      </c>
      <c r="D29" s="21" t="s">
        <v>34</v>
      </c>
      <c r="E29" s="22" t="n">
        <v>41471</v>
      </c>
      <c r="F29" s="23" t="n">
        <v>0.354166666666667</v>
      </c>
      <c r="G29" s="23" t="n">
        <v>0.625</v>
      </c>
      <c r="H29" s="24" t="n">
        <f aca="false">(G29-F29)*24</f>
        <v>6.49999999999999</v>
      </c>
      <c r="I29" s="25" t="n">
        <f aca="false">VLOOKUP(C29,$M$10:$O$12,3)</f>
        <v>200</v>
      </c>
      <c r="J29" s="28" t="n">
        <f aca="false">H29*I29*24</f>
        <v>31199.9999999999</v>
      </c>
    </row>
    <row r="30" customFormat="false" ht="13.8" hidden="false" customHeight="false" outlineLevel="0" collapsed="false">
      <c r="B30" s="20" t="n">
        <v>10</v>
      </c>
      <c r="C30" s="21" t="s">
        <v>32</v>
      </c>
      <c r="D30" s="21" t="s">
        <v>35</v>
      </c>
      <c r="E30" s="22" t="n">
        <v>41473</v>
      </c>
      <c r="F30" s="23" t="n">
        <v>0.354166666666667</v>
      </c>
      <c r="G30" s="23" t="n">
        <v>0.666666666666667</v>
      </c>
      <c r="H30" s="24" t="n">
        <f aca="false">(G30-F30)*24</f>
        <v>7.5</v>
      </c>
      <c r="I30" s="25" t="n">
        <f aca="false">VLOOKUP(C30,$M$10:$O$12,3)</f>
        <v>95</v>
      </c>
      <c r="J30" s="28" t="n">
        <f aca="false">H30*I30*24</f>
        <v>17100</v>
      </c>
    </row>
    <row r="31" customFormat="false" ht="13.8" hidden="false" customHeight="false" outlineLevel="0" collapsed="false">
      <c r="B31" s="20" t="n">
        <v>10</v>
      </c>
      <c r="C31" s="21" t="s">
        <v>32</v>
      </c>
      <c r="D31" s="21" t="s">
        <v>36</v>
      </c>
      <c r="E31" s="22" t="n">
        <v>41474</v>
      </c>
      <c r="F31" s="23" t="n">
        <v>0.416666666666667</v>
      </c>
      <c r="G31" s="23" t="n">
        <v>0.5</v>
      </c>
      <c r="H31" s="24" t="n">
        <f aca="false">(G31-F31)*24</f>
        <v>1.99999999999999</v>
      </c>
      <c r="I31" s="25" t="n">
        <f aca="false">VLOOKUP(C31,$M$10:$O$12,3)</f>
        <v>95</v>
      </c>
      <c r="J31" s="28" t="n">
        <f aca="false">H31*I31*24</f>
        <v>4559.99999999998</v>
      </c>
    </row>
    <row r="32" customFormat="false" ht="13.8" hidden="false" customHeight="false" outlineLevel="0" collapsed="false">
      <c r="B32" s="20" t="n">
        <v>11</v>
      </c>
      <c r="C32" s="21" t="s">
        <v>25</v>
      </c>
      <c r="D32" s="21" t="s">
        <v>37</v>
      </c>
      <c r="E32" s="22" t="n">
        <v>41467</v>
      </c>
      <c r="F32" s="23" t="n">
        <v>0.333333333333333</v>
      </c>
      <c r="G32" s="23" t="n">
        <v>0.5</v>
      </c>
      <c r="H32" s="24" t="n">
        <f aca="false">(G32-F32)*24</f>
        <v>4.00000000000001</v>
      </c>
      <c r="I32" s="25" t="n">
        <f aca="false">VLOOKUP(C32,$M$10:$O$12,3)</f>
        <v>200</v>
      </c>
      <c r="J32" s="28" t="n">
        <f aca="false">H32*I32*24</f>
        <v>19200</v>
      </c>
    </row>
    <row r="33" customFormat="false" ht="13.8" hidden="false" customHeight="false" outlineLevel="0" collapsed="false">
      <c r="B33" s="20" t="n">
        <v>11</v>
      </c>
      <c r="C33" s="21" t="s">
        <v>25</v>
      </c>
      <c r="D33" s="21" t="s">
        <v>38</v>
      </c>
      <c r="E33" s="22" t="n">
        <v>41469</v>
      </c>
      <c r="F33" s="23" t="n">
        <v>0.375</v>
      </c>
      <c r="G33" s="23" t="n">
        <v>0.75</v>
      </c>
      <c r="H33" s="24" t="n">
        <f aca="false">(G33-F33)*24</f>
        <v>9</v>
      </c>
      <c r="I33" s="25" t="n">
        <f aca="false">VLOOKUP(C33,$M$10:$O$12,3)</f>
        <v>200</v>
      </c>
      <c r="J33" s="28" t="n">
        <f aca="false">H33*I33*24</f>
        <v>43200</v>
      </c>
    </row>
    <row r="34" customFormat="false" ht="13.8" hidden="false" customHeight="false" outlineLevel="0" collapsed="false">
      <c r="B34" s="20" t="n">
        <v>11</v>
      </c>
      <c r="C34" s="21" t="s">
        <v>25</v>
      </c>
      <c r="D34" s="21" t="s">
        <v>31</v>
      </c>
      <c r="E34" s="22" t="n">
        <v>41472</v>
      </c>
      <c r="F34" s="23" t="n">
        <v>0.364583333333333</v>
      </c>
      <c r="G34" s="23" t="n">
        <v>0.708333333333333</v>
      </c>
      <c r="H34" s="24" t="n">
        <f aca="false">(G34-F34)*24</f>
        <v>8.25</v>
      </c>
      <c r="I34" s="25" t="n">
        <f aca="false">VLOOKUP(C34,$M$10:$O$12,3)</f>
        <v>200</v>
      </c>
      <c r="J34" s="28" t="n">
        <f aca="false">H34*I34*24</f>
        <v>39600</v>
      </c>
    </row>
    <row r="35" customFormat="false" ht="13.8" hidden="false" customHeight="false" outlineLevel="0" collapsed="false">
      <c r="B35" s="20" t="n">
        <v>11</v>
      </c>
      <c r="C35" s="21" t="s">
        <v>25</v>
      </c>
      <c r="D35" s="21" t="s">
        <v>34</v>
      </c>
      <c r="E35" s="22" t="n">
        <v>41473</v>
      </c>
      <c r="F35" s="23" t="n">
        <v>0.291666666666667</v>
      </c>
      <c r="G35" s="23" t="n">
        <v>0.708333333333333</v>
      </c>
      <c r="H35" s="24" t="n">
        <f aca="false">(G35-F35)*24</f>
        <v>9.99999999999998</v>
      </c>
      <c r="I35" s="25" t="n">
        <f aca="false">VLOOKUP(C35,$M$10:$O$12,3)</f>
        <v>200</v>
      </c>
      <c r="J35" s="28" t="n">
        <f aca="false">H35*I35*24</f>
        <v>47999.9999999999</v>
      </c>
    </row>
    <row r="36" customFormat="false" ht="13.8" hidden="false" customHeight="false" outlineLevel="0" collapsed="false">
      <c r="B36" s="20" t="n">
        <v>11</v>
      </c>
      <c r="C36" s="21" t="s">
        <v>25</v>
      </c>
      <c r="D36" s="21" t="s">
        <v>35</v>
      </c>
      <c r="E36" s="22" t="n">
        <v>41476</v>
      </c>
      <c r="F36" s="23" t="n">
        <v>0.458333333333333</v>
      </c>
      <c r="G36" s="23" t="n">
        <v>0.583333333333333</v>
      </c>
      <c r="H36" s="24" t="n">
        <f aca="false">(G36-F36)*24</f>
        <v>3</v>
      </c>
      <c r="I36" s="25" t="n">
        <f aca="false">VLOOKUP(C36,$M$10:$O$12,3)</f>
        <v>200</v>
      </c>
      <c r="J36" s="28" t="n">
        <f aca="false">H36*I36*24</f>
        <v>14400</v>
      </c>
    </row>
    <row r="37" customFormat="false" ht="13.8" hidden="false" customHeight="false" outlineLevel="0" collapsed="false">
      <c r="B37" s="20" t="n">
        <v>12</v>
      </c>
      <c r="C37" s="21" t="s">
        <v>28</v>
      </c>
      <c r="D37" s="21" t="s">
        <v>36</v>
      </c>
      <c r="E37" s="22" t="n">
        <v>41475</v>
      </c>
      <c r="F37" s="23" t="n">
        <v>0.4375</v>
      </c>
      <c r="G37" s="23" t="n">
        <v>0.666666666666667</v>
      </c>
      <c r="H37" s="24" t="n">
        <f aca="false">(G37-F37)*24</f>
        <v>5.50000000000001</v>
      </c>
      <c r="I37" s="25" t="n">
        <f aca="false">VLOOKUP(C37,$M$10:$O$12,3)</f>
        <v>150</v>
      </c>
      <c r="J37" s="28" t="n">
        <f aca="false">H37*I37*24</f>
        <v>19800</v>
      </c>
    </row>
    <row r="38" customFormat="false" ht="13.8" hidden="false" customHeight="false" outlineLevel="0" collapsed="false">
      <c r="B38" s="20" t="n">
        <v>12</v>
      </c>
      <c r="C38" s="21" t="s">
        <v>28</v>
      </c>
      <c r="D38" s="21" t="s">
        <v>37</v>
      </c>
      <c r="E38" s="22" t="n">
        <v>41477</v>
      </c>
      <c r="F38" s="23" t="n">
        <v>0.354166666666667</v>
      </c>
      <c r="G38" s="23" t="n">
        <v>0.6875</v>
      </c>
      <c r="H38" s="24" t="n">
        <f aca="false">(G38-F38)*24</f>
        <v>7.99999999999999</v>
      </c>
      <c r="I38" s="25" t="n">
        <f aca="false">VLOOKUP(C38,$M$10:$O$12,3)</f>
        <v>150</v>
      </c>
      <c r="J38" s="28" t="n">
        <f aca="false">H38*I38*24</f>
        <v>28800</v>
      </c>
    </row>
    <row r="39" customFormat="false" ht="13.8" hidden="false" customHeight="false" outlineLevel="0" collapsed="false">
      <c r="B39" s="20" t="n">
        <v>13</v>
      </c>
      <c r="C39" s="21" t="s">
        <v>28</v>
      </c>
      <c r="D39" s="21" t="s">
        <v>34</v>
      </c>
      <c r="E39" s="22" t="n">
        <v>41472</v>
      </c>
      <c r="F39" s="23" t="n">
        <v>0.354166666666667</v>
      </c>
      <c r="G39" s="23" t="n">
        <v>0.739583333333333</v>
      </c>
      <c r="H39" s="24" t="n">
        <f aca="false">(G39-F39)*24</f>
        <v>9.24999999999998</v>
      </c>
      <c r="I39" s="25" t="n">
        <f aca="false">VLOOKUP(C39,$M$10:$O$12,3)</f>
        <v>150</v>
      </c>
      <c r="J39" s="28" t="n">
        <f aca="false">H39*I39*24</f>
        <v>33299.9999999999</v>
      </c>
    </row>
    <row r="40" customFormat="false" ht="13.8" hidden="false" customHeight="false" outlineLevel="0" collapsed="false">
      <c r="B40" s="20" t="n">
        <v>14</v>
      </c>
      <c r="C40" s="21" t="s">
        <v>32</v>
      </c>
      <c r="D40" s="21" t="s">
        <v>35</v>
      </c>
      <c r="E40" s="22" t="n">
        <v>41467</v>
      </c>
      <c r="F40" s="23" t="n">
        <v>0.354166666666667</v>
      </c>
      <c r="G40" s="23" t="n">
        <v>0.75</v>
      </c>
      <c r="H40" s="24" t="n">
        <f aca="false">(G40-F40)*24</f>
        <v>9.49999999999999</v>
      </c>
      <c r="I40" s="25" t="n">
        <f aca="false">VLOOKUP(C40,$M$10:$O$12,3)</f>
        <v>95</v>
      </c>
      <c r="J40" s="28" t="n">
        <f aca="false">H40*I40*24</f>
        <v>21660</v>
      </c>
    </row>
    <row r="41" customFormat="false" ht="13.8" hidden="false" customHeight="false" outlineLevel="0" collapsed="false">
      <c r="B41" s="20" t="n">
        <v>14</v>
      </c>
      <c r="C41" s="21" t="s">
        <v>32</v>
      </c>
      <c r="D41" s="21" t="s">
        <v>36</v>
      </c>
      <c r="E41" s="22" t="n">
        <v>41468</v>
      </c>
      <c r="F41" s="23" t="n">
        <v>0.354166666666667</v>
      </c>
      <c r="G41" s="23" t="n">
        <v>0.833333333333333</v>
      </c>
      <c r="H41" s="24" t="n">
        <f aca="false">(G41-F41)*24</f>
        <v>11.5</v>
      </c>
      <c r="I41" s="25" t="n">
        <f aca="false">VLOOKUP(C41,$M$10:$O$12,3)</f>
        <v>95</v>
      </c>
      <c r="J41" s="28" t="n">
        <f aca="false">H41*I41*24</f>
        <v>26220</v>
      </c>
    </row>
    <row r="42" customFormat="false" ht="13.8" hidden="false" customHeight="false" outlineLevel="0" collapsed="false">
      <c r="B42" s="20" t="n">
        <v>14</v>
      </c>
      <c r="C42" s="21" t="s">
        <v>32</v>
      </c>
      <c r="D42" s="21" t="s">
        <v>37</v>
      </c>
      <c r="E42" s="22" t="n">
        <v>41472</v>
      </c>
      <c r="F42" s="23" t="n">
        <v>0.375</v>
      </c>
      <c r="G42" s="23" t="n">
        <v>0.708333333333333</v>
      </c>
      <c r="H42" s="24" t="n">
        <f aca="false">(G42-F42)*24</f>
        <v>7.99999999999999</v>
      </c>
      <c r="I42" s="25" t="n">
        <f aca="false">VLOOKUP(C42,$M$10:$O$12,3)</f>
        <v>95</v>
      </c>
      <c r="J42" s="28" t="n">
        <f aca="false">H42*I42*24</f>
        <v>18240</v>
      </c>
    </row>
    <row r="43" customFormat="false" ht="13.8" hidden="false" customHeight="false" outlineLevel="0" collapsed="false">
      <c r="B43" s="20" t="n">
        <v>14</v>
      </c>
      <c r="C43" s="21" t="s">
        <v>32</v>
      </c>
      <c r="D43" s="21" t="s">
        <v>38</v>
      </c>
      <c r="E43" s="22" t="n">
        <v>41473</v>
      </c>
      <c r="F43" s="23" t="n">
        <v>0.416666666666667</v>
      </c>
      <c r="G43" s="23" t="n">
        <v>0.75</v>
      </c>
      <c r="H43" s="24" t="n">
        <f aca="false">(G43-F43)*24</f>
        <v>7.99999999999999</v>
      </c>
      <c r="I43" s="25" t="n">
        <f aca="false">VLOOKUP(C43,$M$10:$O$12,3)</f>
        <v>95</v>
      </c>
      <c r="J43" s="28" t="n">
        <f aca="false">H43*I43*24</f>
        <v>18240</v>
      </c>
    </row>
    <row r="44" customFormat="false" ht="13.8" hidden="false" customHeight="false" outlineLevel="0" collapsed="false">
      <c r="B44" s="20" t="n">
        <v>14</v>
      </c>
      <c r="C44" s="21" t="s">
        <v>32</v>
      </c>
      <c r="D44" s="21" t="s">
        <v>34</v>
      </c>
      <c r="E44" s="22" t="n">
        <v>41477</v>
      </c>
      <c r="F44" s="23" t="n">
        <v>0.458333333333333</v>
      </c>
      <c r="G44" s="23" t="n">
        <v>0.625</v>
      </c>
      <c r="H44" s="24" t="n">
        <f aca="false">(G44-F44)*24</f>
        <v>4.00000000000001</v>
      </c>
      <c r="I44" s="25" t="n">
        <f aca="false">VLOOKUP(C44,$M$10:$O$12,3)</f>
        <v>95</v>
      </c>
      <c r="J44" s="28" t="n">
        <f aca="false">H44*I44*24</f>
        <v>9120.00000000002</v>
      </c>
    </row>
    <row r="45" customFormat="false" ht="13.8" hidden="false" customHeight="false" outlineLevel="0" collapsed="false">
      <c r="B45" s="20" t="n">
        <v>14</v>
      </c>
      <c r="C45" s="21" t="s">
        <v>32</v>
      </c>
      <c r="D45" s="21" t="s">
        <v>35</v>
      </c>
      <c r="E45" s="22" t="n">
        <v>41483</v>
      </c>
      <c r="F45" s="23" t="n">
        <v>0.333333333333333</v>
      </c>
      <c r="G45" s="23" t="n">
        <v>0.666666666666667</v>
      </c>
      <c r="H45" s="24" t="n">
        <f aca="false">(G45-F45)*24</f>
        <v>8.00000000000002</v>
      </c>
      <c r="I45" s="25" t="n">
        <f aca="false">VLOOKUP(C45,$M$10:$O$12,3)</f>
        <v>95</v>
      </c>
      <c r="J45" s="28" t="n">
        <f aca="false">H45*I45*24</f>
        <v>18240</v>
      </c>
    </row>
    <row r="46" customFormat="false" ht="13.8" hidden="false" customHeight="false" outlineLevel="0" collapsed="false">
      <c r="B46" s="20" t="n">
        <v>15</v>
      </c>
      <c r="C46" s="21" t="s">
        <v>25</v>
      </c>
      <c r="D46" s="21" t="s">
        <v>36</v>
      </c>
      <c r="E46" s="22" t="n">
        <v>41469</v>
      </c>
      <c r="F46" s="23" t="n">
        <v>0.354166666666667</v>
      </c>
      <c r="G46" s="23" t="n">
        <v>0.75</v>
      </c>
      <c r="H46" s="24" t="n">
        <f aca="false">(G46-F46)*24</f>
        <v>9.49999999999999</v>
      </c>
      <c r="I46" s="25" t="n">
        <f aca="false">VLOOKUP(C46,$M$10:$O$12,3)</f>
        <v>200</v>
      </c>
      <c r="J46" s="28" t="n">
        <f aca="false">H46*I46*24</f>
        <v>45600</v>
      </c>
    </row>
    <row r="47" customFormat="false" ht="13.8" hidden="false" customHeight="false" outlineLevel="0" collapsed="false">
      <c r="B47" s="20" t="n">
        <v>15</v>
      </c>
      <c r="C47" s="21" t="s">
        <v>25</v>
      </c>
      <c r="D47" s="21" t="s">
        <v>37</v>
      </c>
      <c r="E47" s="22" t="n">
        <v>41472</v>
      </c>
      <c r="F47" s="23" t="n">
        <v>0.541666666666667</v>
      </c>
      <c r="G47" s="23" t="n">
        <v>0.791666666666667</v>
      </c>
      <c r="H47" s="24" t="n">
        <f aca="false">(G47-F47)*24</f>
        <v>6</v>
      </c>
      <c r="I47" s="25" t="n">
        <f aca="false">VLOOKUP(C47,$M$10:$O$12,3)</f>
        <v>200</v>
      </c>
      <c r="J47" s="28" t="n">
        <f aca="false">H47*I47*24</f>
        <v>28800</v>
      </c>
    </row>
    <row r="48" customFormat="false" ht="13.8" hidden="false" customHeight="false" outlineLevel="0" collapsed="false">
      <c r="B48" s="20" t="n">
        <v>16</v>
      </c>
      <c r="C48" s="21" t="s">
        <v>25</v>
      </c>
      <c r="D48" s="21" t="s">
        <v>38</v>
      </c>
      <c r="E48" s="22" t="n">
        <v>41473</v>
      </c>
      <c r="F48" s="23" t="n">
        <v>0.375</v>
      </c>
      <c r="G48" s="23" t="n">
        <v>0.666666666666667</v>
      </c>
      <c r="H48" s="24" t="n">
        <f aca="false">(G48-F48)*24</f>
        <v>7.00000000000001</v>
      </c>
      <c r="I48" s="25" t="n">
        <f aca="false">VLOOKUP(C48,$M$10:$O$12,3)</f>
        <v>200</v>
      </c>
      <c r="J48" s="28" t="n">
        <f aca="false">H48*I48*24</f>
        <v>33600.0000000001</v>
      </c>
    </row>
    <row r="49" customFormat="false" ht="13.8" hidden="false" customHeight="false" outlineLevel="0" collapsed="false">
      <c r="B49" s="20" t="n">
        <v>16</v>
      </c>
      <c r="C49" s="21" t="s">
        <v>25</v>
      </c>
      <c r="D49" s="21" t="s">
        <v>26</v>
      </c>
      <c r="E49" s="22" t="n">
        <v>41474</v>
      </c>
      <c r="F49" s="23" t="n">
        <v>0.416666666666667</v>
      </c>
      <c r="G49" s="23" t="n">
        <v>0.625</v>
      </c>
      <c r="H49" s="24" t="n">
        <f aca="false">(G49-F49)*24</f>
        <v>4.99999999999999</v>
      </c>
      <c r="I49" s="25" t="n">
        <f aca="false">VLOOKUP(C49,$M$10:$O$12,3)</f>
        <v>200</v>
      </c>
      <c r="J49" s="28" t="n">
        <f aca="false">H49*I49*24</f>
        <v>24000</v>
      </c>
    </row>
    <row r="50" customFormat="false" ht="13.8" hidden="false" customHeight="false" outlineLevel="0" collapsed="false">
      <c r="B50" s="20" t="n">
        <v>17</v>
      </c>
      <c r="C50" s="21" t="s">
        <v>28</v>
      </c>
      <c r="D50" s="21" t="s">
        <v>29</v>
      </c>
      <c r="E50" s="22" t="n">
        <v>41461</v>
      </c>
      <c r="F50" s="23" t="n">
        <v>0.354166666666667</v>
      </c>
      <c r="G50" s="23" t="n">
        <v>0.583333333333333</v>
      </c>
      <c r="H50" s="24" t="n">
        <f aca="false">(G50-F50)*24</f>
        <v>5.49999999999998</v>
      </c>
      <c r="I50" s="25" t="n">
        <f aca="false">VLOOKUP(C50,$M$10:$O$12,3)</f>
        <v>150</v>
      </c>
      <c r="J50" s="28" t="n">
        <f aca="false">H50*I50*24</f>
        <v>19799.9999999999</v>
      </c>
    </row>
    <row r="51" customFormat="false" ht="13.8" hidden="false" customHeight="false" outlineLevel="0" collapsed="false">
      <c r="B51" s="20" t="n">
        <v>17</v>
      </c>
      <c r="C51" s="21" t="s">
        <v>28</v>
      </c>
      <c r="D51" s="21" t="s">
        <v>31</v>
      </c>
      <c r="E51" s="22" t="n">
        <v>41462</v>
      </c>
      <c r="F51" s="23" t="n">
        <v>0.354166666666667</v>
      </c>
      <c r="G51" s="23" t="n">
        <v>0.614583333333333</v>
      </c>
      <c r="H51" s="24" t="n">
        <f aca="false">(G51-F51)*24</f>
        <v>6.24999999999998</v>
      </c>
      <c r="I51" s="25" t="n">
        <f aca="false">VLOOKUP(C51,$M$10:$O$12,3)</f>
        <v>150</v>
      </c>
      <c r="J51" s="28" t="n">
        <f aca="false">H51*I51*24</f>
        <v>22499.9999999999</v>
      </c>
    </row>
    <row r="52" customFormat="false" ht="13.8" hidden="false" customHeight="false" outlineLevel="0" collapsed="false">
      <c r="B52" s="20" t="n">
        <v>17</v>
      </c>
      <c r="C52" s="21" t="s">
        <v>28</v>
      </c>
      <c r="D52" s="21" t="s">
        <v>34</v>
      </c>
      <c r="E52" s="22" t="n">
        <v>41463</v>
      </c>
      <c r="F52" s="23" t="n">
        <v>0.354166666666667</v>
      </c>
      <c r="G52" s="23" t="n">
        <v>0.614583333333333</v>
      </c>
      <c r="H52" s="24" t="n">
        <f aca="false">(G52-F52)*24</f>
        <v>6.24999999999998</v>
      </c>
      <c r="I52" s="25" t="n">
        <f aca="false">VLOOKUP(C52,$M$10:$O$12,3)</f>
        <v>150</v>
      </c>
      <c r="J52" s="28" t="n">
        <f aca="false">H52*I52*24</f>
        <v>22499.9999999999</v>
      </c>
    </row>
    <row r="53" customFormat="false" ht="13.8" hidden="false" customHeight="false" outlineLevel="0" collapsed="false">
      <c r="B53" s="20" t="n">
        <v>17</v>
      </c>
      <c r="C53" s="21" t="s">
        <v>28</v>
      </c>
      <c r="D53" s="21" t="s">
        <v>35</v>
      </c>
      <c r="E53" s="22" t="n">
        <v>41464</v>
      </c>
      <c r="F53" s="23" t="n">
        <v>0.354166666666667</v>
      </c>
      <c r="G53" s="23" t="n">
        <v>0.625</v>
      </c>
      <c r="H53" s="24" t="n">
        <f aca="false">(G53-F53)*24</f>
        <v>6.49999999999999</v>
      </c>
      <c r="I53" s="25" t="n">
        <f aca="false">VLOOKUP(C53,$M$10:$O$12,3)</f>
        <v>150</v>
      </c>
      <c r="J53" s="28" t="n">
        <f aca="false">H53*I53*24</f>
        <v>23400</v>
      </c>
    </row>
    <row r="54" customFormat="false" ht="13.8" hidden="false" customHeight="false" outlineLevel="0" collapsed="false">
      <c r="B54" s="20" t="n">
        <v>17</v>
      </c>
      <c r="C54" s="21" t="s">
        <v>28</v>
      </c>
      <c r="D54" s="21" t="s">
        <v>36</v>
      </c>
      <c r="E54" s="22" t="n">
        <v>41465</v>
      </c>
      <c r="F54" s="23" t="n">
        <v>0.354166666666667</v>
      </c>
      <c r="G54" s="23" t="n">
        <v>0.708333333333333</v>
      </c>
      <c r="H54" s="24" t="n">
        <f aca="false">(G54-F54)*24</f>
        <v>8.49999999999998</v>
      </c>
      <c r="I54" s="25" t="n">
        <f aca="false">VLOOKUP(C54,$M$10:$O$12,3)</f>
        <v>150</v>
      </c>
      <c r="J54" s="28" t="n">
        <f aca="false">H54*I54*24</f>
        <v>30599.9999999999</v>
      </c>
    </row>
    <row r="55" customFormat="false" ht="13.8" hidden="false" customHeight="false" outlineLevel="0" collapsed="false">
      <c r="B55" s="20" t="n">
        <v>17</v>
      </c>
      <c r="C55" s="21" t="s">
        <v>28</v>
      </c>
      <c r="D55" s="21" t="s">
        <v>37</v>
      </c>
      <c r="E55" s="22" t="n">
        <v>41466</v>
      </c>
      <c r="F55" s="23" t="n">
        <v>0.354166666666667</v>
      </c>
      <c r="G55" s="23" t="n">
        <v>0.614583333333333</v>
      </c>
      <c r="H55" s="24" t="n">
        <f aca="false">(G55-F55)*24</f>
        <v>6.24999999999998</v>
      </c>
      <c r="I55" s="25" t="n">
        <f aca="false">VLOOKUP(C55,$M$10:$O$12,3)</f>
        <v>150</v>
      </c>
      <c r="J55" s="28" t="n">
        <f aca="false">H55*I55*24</f>
        <v>22499.9999999999</v>
      </c>
    </row>
    <row r="56" customFormat="false" ht="13.8" hidden="false" customHeight="false" outlineLevel="0" collapsed="false">
      <c r="B56" s="20" t="n">
        <v>18</v>
      </c>
      <c r="C56" s="21" t="s">
        <v>32</v>
      </c>
      <c r="D56" s="21" t="s">
        <v>38</v>
      </c>
      <c r="E56" s="22" t="n">
        <v>41456</v>
      </c>
      <c r="F56" s="23" t="n">
        <v>0.458333333333333</v>
      </c>
      <c r="G56" s="23" t="n">
        <v>0.708333333333333</v>
      </c>
      <c r="H56" s="24" t="n">
        <f aca="false">(G56-F56)*24</f>
        <v>6</v>
      </c>
      <c r="I56" s="25" t="n">
        <f aca="false">VLOOKUP(C56,$M$10:$O$12,3)</f>
        <v>95</v>
      </c>
      <c r="J56" s="28" t="n">
        <f aca="false">H56*I56*24</f>
        <v>13680</v>
      </c>
    </row>
    <row r="57" customFormat="false" ht="13.8" hidden="false" customHeight="false" outlineLevel="0" collapsed="false">
      <c r="B57" s="20" t="n">
        <v>18</v>
      </c>
      <c r="C57" s="21" t="s">
        <v>32</v>
      </c>
      <c r="D57" s="21" t="s">
        <v>39</v>
      </c>
      <c r="E57" s="22" t="n">
        <v>41458</v>
      </c>
      <c r="F57" s="23" t="n">
        <v>0.375</v>
      </c>
      <c r="G57" s="23" t="n">
        <v>0.625</v>
      </c>
      <c r="H57" s="24" t="n">
        <f aca="false">(G57-F57)*24</f>
        <v>6</v>
      </c>
      <c r="I57" s="25" t="n">
        <f aca="false">VLOOKUP(C57,$M$10:$O$12,3)</f>
        <v>95</v>
      </c>
      <c r="J57" s="28" t="n">
        <f aca="false">H57*I57*24</f>
        <v>13680</v>
      </c>
    </row>
    <row r="58" customFormat="false" ht="13.8" hidden="false" customHeight="false" outlineLevel="0" collapsed="false">
      <c r="B58" s="20" t="n">
        <v>18</v>
      </c>
      <c r="C58" s="21" t="s">
        <v>32</v>
      </c>
      <c r="D58" s="21" t="s">
        <v>40</v>
      </c>
      <c r="E58" s="22" t="n">
        <v>41459</v>
      </c>
      <c r="F58" s="23" t="n">
        <v>0.364583333333333</v>
      </c>
      <c r="G58" s="23" t="n">
        <v>0.666666666666667</v>
      </c>
      <c r="H58" s="24" t="n">
        <f aca="false">(G58-F58)*24</f>
        <v>7.25000000000002</v>
      </c>
      <c r="I58" s="25" t="n">
        <f aca="false">VLOOKUP(C58,$M$10:$O$12,3)</f>
        <v>95</v>
      </c>
      <c r="J58" s="28" t="n">
        <f aca="false">H58*I58*24</f>
        <v>16530</v>
      </c>
    </row>
    <row r="59" customFormat="false" ht="13.8" hidden="false" customHeight="false" outlineLevel="0" collapsed="false">
      <c r="B59" s="20" t="n">
        <v>18</v>
      </c>
      <c r="C59" s="21" t="s">
        <v>32</v>
      </c>
      <c r="D59" s="21" t="s">
        <v>34</v>
      </c>
      <c r="E59" s="22" t="n">
        <v>41462</v>
      </c>
      <c r="F59" s="23" t="n">
        <v>0.4375</v>
      </c>
      <c r="G59" s="23" t="n">
        <v>0.75</v>
      </c>
      <c r="H59" s="24" t="n">
        <f aca="false">(G59-F59)*24</f>
        <v>7.5</v>
      </c>
      <c r="I59" s="25" t="n">
        <f aca="false">VLOOKUP(C59,$M$10:$O$12,3)</f>
        <v>95</v>
      </c>
      <c r="J59" s="28" t="n">
        <f aca="false">H59*I59*24</f>
        <v>17100</v>
      </c>
    </row>
    <row r="60" customFormat="false" ht="13.8" hidden="false" customHeight="false" outlineLevel="0" collapsed="false">
      <c r="B60" s="20" t="n">
        <v>18</v>
      </c>
      <c r="C60" s="21" t="s">
        <v>32</v>
      </c>
      <c r="D60" s="21" t="s">
        <v>35</v>
      </c>
      <c r="E60" s="22" t="n">
        <v>41467</v>
      </c>
      <c r="F60" s="23" t="n">
        <v>0.354166666666667</v>
      </c>
      <c r="G60" s="23" t="n">
        <v>0.625</v>
      </c>
      <c r="H60" s="24" t="n">
        <f aca="false">(G60-F60)*24</f>
        <v>6.49999999999999</v>
      </c>
      <c r="I60" s="25" t="n">
        <f aca="false">VLOOKUP(C60,$M$10:$O$12,3)</f>
        <v>95</v>
      </c>
      <c r="J60" s="28" t="n">
        <f aca="false">H60*I60*24</f>
        <v>14820</v>
      </c>
    </row>
    <row r="61" customFormat="false" ht="13.8" hidden="false" customHeight="false" outlineLevel="0" collapsed="false">
      <c r="B61" s="20" t="n">
        <v>19</v>
      </c>
      <c r="C61" s="21" t="s">
        <v>28</v>
      </c>
      <c r="D61" s="21" t="s">
        <v>36</v>
      </c>
      <c r="E61" s="22" t="n">
        <v>41469</v>
      </c>
      <c r="F61" s="23" t="n">
        <v>0.354166666666667</v>
      </c>
      <c r="G61" s="23" t="n">
        <v>0.645833333333333</v>
      </c>
      <c r="H61" s="24" t="n">
        <f aca="false">(G61-F61)*24</f>
        <v>6.99999999999998</v>
      </c>
      <c r="I61" s="25" t="n">
        <f aca="false">VLOOKUP(C61,$M$10:$O$12,3)</f>
        <v>150</v>
      </c>
      <c r="J61" s="28" t="n">
        <f aca="false">H61*I61*24</f>
        <v>25199.9999999999</v>
      </c>
    </row>
    <row r="62" customFormat="false" ht="13.8" hidden="false" customHeight="false" outlineLevel="0" collapsed="false">
      <c r="B62" s="20" t="n">
        <v>19</v>
      </c>
      <c r="C62" s="21" t="s">
        <v>28</v>
      </c>
      <c r="D62" s="21" t="s">
        <v>37</v>
      </c>
      <c r="E62" s="22" t="n">
        <v>41472</v>
      </c>
      <c r="F62" s="23" t="n">
        <v>0.541666666666667</v>
      </c>
      <c r="G62" s="23" t="n">
        <v>0.625</v>
      </c>
      <c r="H62" s="24" t="n">
        <f aca="false">(G62-F62)*24</f>
        <v>1.99999999999999</v>
      </c>
      <c r="I62" s="25" t="n">
        <f aca="false">VLOOKUP(C62,$M$10:$O$12,3)</f>
        <v>150</v>
      </c>
      <c r="J62" s="28" t="n">
        <f aca="false">H62*I62*24</f>
        <v>7199.99999999996</v>
      </c>
    </row>
    <row r="63" customFormat="false" ht="13.8" hidden="false" customHeight="false" outlineLevel="0" collapsed="false">
      <c r="B63" s="20" t="n">
        <v>20</v>
      </c>
      <c r="C63" s="21" t="s">
        <v>25</v>
      </c>
      <c r="D63" s="21" t="s">
        <v>38</v>
      </c>
      <c r="E63" s="22" t="n">
        <v>41478</v>
      </c>
      <c r="F63" s="23" t="n">
        <v>0.375</v>
      </c>
      <c r="G63" s="23" t="n">
        <v>0.65625</v>
      </c>
      <c r="H63" s="24" t="n">
        <f aca="false">(G63-F63)*24</f>
        <v>6.75</v>
      </c>
      <c r="I63" s="25" t="n">
        <f aca="false">VLOOKUP(C63,$M$10:$O$12,3)</f>
        <v>200</v>
      </c>
      <c r="J63" s="28" t="n">
        <f aca="false">H63*I63*24</f>
        <v>32400</v>
      </c>
    </row>
    <row r="64" customFormat="false" ht="13.8" hidden="false" customHeight="false" outlineLevel="0" collapsed="false">
      <c r="B64" s="20" t="n">
        <v>20</v>
      </c>
      <c r="C64" s="21" t="s">
        <v>25</v>
      </c>
      <c r="D64" s="21" t="s">
        <v>35</v>
      </c>
      <c r="E64" s="22" t="n">
        <v>41479</v>
      </c>
      <c r="F64" s="23" t="n">
        <v>0.416666666666667</v>
      </c>
      <c r="G64" s="23" t="n">
        <v>0.75</v>
      </c>
      <c r="H64" s="24" t="n">
        <f aca="false">(G64-F64)*24</f>
        <v>7.99999999999999</v>
      </c>
      <c r="I64" s="25" t="n">
        <f aca="false">VLOOKUP(C64,$M$10:$O$12,3)</f>
        <v>200</v>
      </c>
      <c r="J64" s="28" t="n">
        <f aca="false">H64*I64*24</f>
        <v>38399.9999999999</v>
      </c>
    </row>
    <row r="65" customFormat="false" ht="13.8" hidden="false" customHeight="false" outlineLevel="0" collapsed="false">
      <c r="B65" s="20" t="n">
        <v>21</v>
      </c>
      <c r="C65" s="21" t="s">
        <v>28</v>
      </c>
      <c r="D65" s="21" t="s">
        <v>36</v>
      </c>
      <c r="E65" s="22" t="n">
        <v>41477</v>
      </c>
      <c r="F65" s="23" t="n">
        <v>0.354166666666667</v>
      </c>
      <c r="G65" s="23" t="n">
        <v>0.583333333333333</v>
      </c>
      <c r="H65" s="24" t="n">
        <f aca="false">(G65-F65)*24</f>
        <v>5.49999999999998</v>
      </c>
      <c r="I65" s="25" t="n">
        <f aca="false">VLOOKUP(C65,$M$10:$O$12,3)</f>
        <v>150</v>
      </c>
      <c r="J65" s="28" t="n">
        <f aca="false">H65*I65*24</f>
        <v>19799.9999999999</v>
      </c>
    </row>
    <row r="66" customFormat="false" ht="13.8" hidden="false" customHeight="false" outlineLevel="0" collapsed="false">
      <c r="B66" s="20" t="n">
        <v>21</v>
      </c>
      <c r="C66" s="21" t="s">
        <v>28</v>
      </c>
      <c r="D66" s="21" t="s">
        <v>37</v>
      </c>
      <c r="E66" s="22" t="n">
        <v>41478</v>
      </c>
      <c r="F66" s="23" t="n">
        <v>0.583333333333333</v>
      </c>
      <c r="G66" s="23" t="n">
        <v>0.916666666666667</v>
      </c>
      <c r="H66" s="24" t="n">
        <f aca="false">(G66-F66)*24</f>
        <v>8.00000000000002</v>
      </c>
      <c r="I66" s="25" t="n">
        <f aca="false">VLOOKUP(C66,$M$10:$O$12,3)</f>
        <v>150</v>
      </c>
      <c r="J66" s="28" t="n">
        <f aca="false">H66*I66*24</f>
        <v>28800.0000000001</v>
      </c>
    </row>
    <row r="67" customFormat="false" ht="13.8" hidden="false" customHeight="false" outlineLevel="0" collapsed="false">
      <c r="B67" s="20" t="n">
        <v>22</v>
      </c>
      <c r="C67" s="21" t="s">
        <v>28</v>
      </c>
      <c r="D67" s="21" t="s">
        <v>38</v>
      </c>
      <c r="E67" s="22" t="n">
        <v>41473</v>
      </c>
      <c r="F67" s="23" t="n">
        <v>0.5</v>
      </c>
      <c r="G67" s="23" t="n">
        <v>0.875</v>
      </c>
      <c r="H67" s="24" t="n">
        <f aca="false">(G67-F67)*24</f>
        <v>9</v>
      </c>
      <c r="I67" s="25" t="n">
        <f aca="false">VLOOKUP(C67,$M$10:$O$12,3)</f>
        <v>150</v>
      </c>
      <c r="J67" s="28" t="n">
        <f aca="false">H67*I67*24</f>
        <v>32400</v>
      </c>
    </row>
    <row r="68" customFormat="false" ht="13.8" hidden="false" customHeight="false" outlineLevel="0" collapsed="false">
      <c r="B68" s="20" t="n">
        <v>23</v>
      </c>
      <c r="C68" s="21" t="s">
        <v>28</v>
      </c>
      <c r="D68" s="21" t="s">
        <v>34</v>
      </c>
      <c r="E68" s="22" t="n">
        <v>41473</v>
      </c>
      <c r="F68" s="23" t="n">
        <v>0.364583333333333</v>
      </c>
      <c r="G68" s="23" t="n">
        <v>0.75</v>
      </c>
      <c r="H68" s="24" t="n">
        <f aca="false">(G68-F68)*24</f>
        <v>9.25000000000001</v>
      </c>
      <c r="I68" s="25" t="n">
        <f aca="false">VLOOKUP(C68,$M$10:$O$12,3)</f>
        <v>150</v>
      </c>
      <c r="J68" s="28" t="n">
        <f aca="false">H68*I68*24</f>
        <v>33300</v>
      </c>
    </row>
    <row r="69" customFormat="false" ht="13.8" hidden="false" customHeight="false" outlineLevel="0" collapsed="false">
      <c r="B69" s="20" t="n">
        <v>24</v>
      </c>
      <c r="C69" s="21" t="s">
        <v>32</v>
      </c>
      <c r="D69" s="21" t="s">
        <v>35</v>
      </c>
      <c r="E69" s="22" t="n">
        <v>41474</v>
      </c>
      <c r="F69" s="23" t="n">
        <v>0.375</v>
      </c>
      <c r="G69" s="23" t="n">
        <v>0.583333333333333</v>
      </c>
      <c r="H69" s="24" t="n">
        <f aca="false">(G69-F69)*24</f>
        <v>4.99999999999999</v>
      </c>
      <c r="I69" s="25" t="n">
        <f aca="false">VLOOKUP(C69,$M$10:$O$12,3)</f>
        <v>95</v>
      </c>
      <c r="J69" s="28" t="n">
        <f aca="false">H69*I69*24</f>
        <v>11400</v>
      </c>
    </row>
    <row r="70" customFormat="false" ht="13.8" hidden="false" customHeight="false" outlineLevel="0" collapsed="false">
      <c r="B70" s="20" t="n">
        <v>24</v>
      </c>
      <c r="C70" s="21" t="s">
        <v>32</v>
      </c>
      <c r="D70" s="21" t="s">
        <v>36</v>
      </c>
      <c r="E70" s="22" t="n">
        <v>41475</v>
      </c>
      <c r="F70" s="23" t="n">
        <v>0.447916666666667</v>
      </c>
      <c r="G70" s="23" t="n">
        <v>0.625</v>
      </c>
      <c r="H70" s="24" t="n">
        <f aca="false">(G70-F70)*24</f>
        <v>4.24999999999999</v>
      </c>
      <c r="I70" s="25" t="n">
        <f aca="false">VLOOKUP(C70,$M$10:$O$12,3)</f>
        <v>95</v>
      </c>
      <c r="J70" s="28" t="n">
        <f aca="false">H70*I70*24</f>
        <v>9689.99999999998</v>
      </c>
    </row>
    <row r="71" customFormat="false" ht="13.8" hidden="false" customHeight="false" outlineLevel="0" collapsed="false">
      <c r="B71" s="20" t="n">
        <v>25</v>
      </c>
      <c r="C71" s="21" t="s">
        <v>28</v>
      </c>
      <c r="D71" s="21" t="s">
        <v>37</v>
      </c>
      <c r="E71" s="22" t="n">
        <v>41477</v>
      </c>
      <c r="F71" s="23" t="n">
        <v>0.458333333333333</v>
      </c>
      <c r="G71" s="23" t="n">
        <v>0.666666666666667</v>
      </c>
      <c r="H71" s="24" t="n">
        <f aca="false">(G71-F71)*24</f>
        <v>5.00000000000002</v>
      </c>
      <c r="I71" s="25" t="n">
        <f aca="false">VLOOKUP(C71,$M$10:$O$12,3)</f>
        <v>150</v>
      </c>
      <c r="J71" s="28" t="n">
        <f aca="false">H71*I71*24</f>
        <v>18000.0000000001</v>
      </c>
    </row>
    <row r="72" customFormat="false" ht="13.8" hidden="false" customHeight="false" outlineLevel="0" collapsed="false">
      <c r="B72" s="20" t="n">
        <v>25</v>
      </c>
      <c r="C72" s="21" t="s">
        <v>28</v>
      </c>
      <c r="D72" s="21" t="s">
        <v>38</v>
      </c>
      <c r="E72" s="22" t="n">
        <v>41479</v>
      </c>
      <c r="F72" s="23" t="n">
        <v>0.291666666666667</v>
      </c>
      <c r="G72" s="23" t="n">
        <v>0.5</v>
      </c>
      <c r="H72" s="24" t="n">
        <f aca="false">(G72-F72)*24</f>
        <v>4.99999999999999</v>
      </c>
      <c r="I72" s="25" t="n">
        <f aca="false">VLOOKUP(C72,$M$10:$O$12,3)</f>
        <v>150</v>
      </c>
      <c r="J72" s="28" t="n">
        <f aca="false">H72*I72*24</f>
        <v>18000</v>
      </c>
    </row>
    <row r="73" customFormat="false" ht="13.8" hidden="false" customHeight="false" outlineLevel="0" collapsed="false">
      <c r="B73" s="20" t="n">
        <v>26</v>
      </c>
      <c r="C73" s="21" t="s">
        <v>28</v>
      </c>
      <c r="D73" s="21" t="s">
        <v>31</v>
      </c>
      <c r="E73" s="22" t="n">
        <v>41483</v>
      </c>
      <c r="F73" s="23" t="n">
        <v>0.416666666666667</v>
      </c>
      <c r="G73" s="23" t="n">
        <v>0.583333333333333</v>
      </c>
      <c r="H73" s="24" t="n">
        <f aca="false">(G73-F73)*24</f>
        <v>3.99999999999998</v>
      </c>
      <c r="I73" s="25" t="n">
        <f aca="false">VLOOKUP(C73,$M$10:$O$12,3)</f>
        <v>150</v>
      </c>
      <c r="J73" s="28" t="n">
        <f aca="false">H73*I73*24</f>
        <v>14399.9999999999</v>
      </c>
    </row>
    <row r="74" customFormat="false" ht="13.8" hidden="false" customHeight="false" outlineLevel="0" collapsed="false">
      <c r="B74" s="20" t="n">
        <v>26</v>
      </c>
      <c r="C74" s="21" t="s">
        <v>28</v>
      </c>
      <c r="D74" s="21" t="s">
        <v>34</v>
      </c>
      <c r="E74" s="22" t="n">
        <v>41484</v>
      </c>
      <c r="F74" s="23" t="n">
        <v>0.28125</v>
      </c>
      <c r="G74" s="23" t="n">
        <v>0.666666666666667</v>
      </c>
      <c r="H74" s="24" t="n">
        <f aca="false">(G74-F74)*24</f>
        <v>9.25000000000001</v>
      </c>
      <c r="I74" s="25" t="n">
        <f aca="false">VLOOKUP(C74,$M$10:$O$12,3)</f>
        <v>150</v>
      </c>
      <c r="J74" s="28" t="n">
        <f aca="false">H74*I74*24</f>
        <v>33300</v>
      </c>
    </row>
    <row r="75" customFormat="false" ht="13.8" hidden="false" customHeight="false" outlineLevel="0" collapsed="false">
      <c r="B75" s="20" t="n">
        <v>27</v>
      </c>
      <c r="C75" s="21" t="s">
        <v>28</v>
      </c>
      <c r="D75" s="21" t="s">
        <v>35</v>
      </c>
      <c r="E75" s="22" t="n">
        <v>41484</v>
      </c>
      <c r="F75" s="23" t="n">
        <v>0.614583333333333</v>
      </c>
      <c r="G75" s="23" t="n">
        <v>0.6875</v>
      </c>
      <c r="H75" s="24" t="n">
        <f aca="false">(G75-F75)*24</f>
        <v>1.75000000000001</v>
      </c>
      <c r="I75" s="25" t="n">
        <f aca="false">VLOOKUP(C75,$M$10:$O$12,3)</f>
        <v>150</v>
      </c>
      <c r="J75" s="28" t="n">
        <f aca="false">H75*I75*24</f>
        <v>6300.00000000004</v>
      </c>
    </row>
    <row r="76" customFormat="false" ht="13.8" hidden="false" customHeight="false" outlineLevel="0" collapsed="false">
      <c r="B76" s="20" t="n">
        <v>28</v>
      </c>
      <c r="C76" s="21" t="s">
        <v>28</v>
      </c>
      <c r="D76" s="21" t="s">
        <v>36</v>
      </c>
      <c r="E76" s="22" t="n">
        <v>41484</v>
      </c>
      <c r="F76" s="23" t="n">
        <v>0.583333333333333</v>
      </c>
      <c r="G76" s="23" t="n">
        <v>0.739583333333333</v>
      </c>
      <c r="H76" s="24" t="n">
        <f aca="false">(G76-F76)*24</f>
        <v>3.75</v>
      </c>
      <c r="I76" s="25" t="n">
        <f aca="false">VLOOKUP(C76,$M$10:$O$12,3)</f>
        <v>150</v>
      </c>
      <c r="J76" s="28" t="n">
        <f aca="false">H76*I76*24</f>
        <v>13500</v>
      </c>
    </row>
    <row r="77" customFormat="false" ht="13.8" hidden="false" customHeight="false" outlineLevel="0" collapsed="false">
      <c r="B77" s="20" t="n">
        <v>28</v>
      </c>
      <c r="C77" s="21" t="s">
        <v>28</v>
      </c>
      <c r="D77" s="21" t="s">
        <v>37</v>
      </c>
      <c r="E77" s="22" t="n">
        <v>41485</v>
      </c>
      <c r="F77" s="23" t="n">
        <v>0.5</v>
      </c>
      <c r="G77" s="23" t="n">
        <v>0.625</v>
      </c>
      <c r="H77" s="24" t="n">
        <f aca="false">(G77-F77)*24</f>
        <v>3</v>
      </c>
      <c r="I77" s="25" t="n">
        <f aca="false">VLOOKUP(C77,$M$10:$O$12,3)</f>
        <v>150</v>
      </c>
      <c r="J77" s="28" t="n">
        <f aca="false">H77*I77*24</f>
        <v>10800</v>
      </c>
    </row>
    <row r="78" customFormat="false" ht="13.8" hidden="false" customHeight="false" outlineLevel="0" collapsed="false">
      <c r="B78" s="20" t="n">
        <v>29</v>
      </c>
      <c r="C78" s="21" t="s">
        <v>25</v>
      </c>
      <c r="D78" s="21" t="s">
        <v>38</v>
      </c>
      <c r="E78" s="22" t="n">
        <v>41473</v>
      </c>
      <c r="F78" s="23" t="n">
        <v>0.364583333333333</v>
      </c>
      <c r="G78" s="23" t="n">
        <v>0.666666666666667</v>
      </c>
      <c r="H78" s="24" t="n">
        <f aca="false">(G78-F78)*24</f>
        <v>7.25000000000002</v>
      </c>
      <c r="I78" s="25" t="n">
        <f aca="false">VLOOKUP(C78,$M$10:$O$12,3)</f>
        <v>200</v>
      </c>
      <c r="J78" s="28" t="n">
        <f aca="false">H78*I78*24</f>
        <v>34800.0000000001</v>
      </c>
    </row>
    <row r="79" customFormat="false" ht="13.8" hidden="false" customHeight="false" outlineLevel="0" collapsed="false">
      <c r="B79" s="20" t="n">
        <v>29</v>
      </c>
      <c r="C79" s="21" t="s">
        <v>25</v>
      </c>
      <c r="D79" s="21" t="s">
        <v>26</v>
      </c>
      <c r="E79" s="22" t="n">
        <v>41474</v>
      </c>
      <c r="F79" s="23" t="n">
        <v>0.375</v>
      </c>
      <c r="G79" s="23" t="n">
        <v>0.5</v>
      </c>
      <c r="H79" s="24" t="n">
        <f aca="false">(G79-F79)*24</f>
        <v>3</v>
      </c>
      <c r="I79" s="25" t="n">
        <f aca="false">VLOOKUP(C79,$M$10:$O$12,3)</f>
        <v>200</v>
      </c>
      <c r="J79" s="28" t="n">
        <f aca="false">H79*I79*24</f>
        <v>14400</v>
      </c>
    </row>
    <row r="80" customFormat="false" ht="13.8" hidden="false" customHeight="false" outlineLevel="0" collapsed="false">
      <c r="B80" s="20" t="n">
        <v>29</v>
      </c>
      <c r="C80" s="21" t="s">
        <v>25</v>
      </c>
      <c r="D80" s="21" t="s">
        <v>29</v>
      </c>
      <c r="E80" s="22" t="n">
        <v>41484</v>
      </c>
      <c r="F80" s="23" t="n">
        <v>0.354166666666667</v>
      </c>
      <c r="G80" s="23" t="n">
        <v>0.75</v>
      </c>
      <c r="H80" s="24" t="n">
        <f aca="false">(G80-F80)*24</f>
        <v>9.49999999999999</v>
      </c>
      <c r="I80" s="25" t="n">
        <f aca="false">VLOOKUP(C80,$M$10:$O$12,3)</f>
        <v>200</v>
      </c>
      <c r="J80" s="28" t="n">
        <f aca="false">H80*I80*24</f>
        <v>45600</v>
      </c>
    </row>
    <row r="81" customFormat="false" ht="13.8" hidden="false" customHeight="false" outlineLevel="0" collapsed="false">
      <c r="B81" s="20" t="n">
        <v>30</v>
      </c>
      <c r="C81" s="21" t="s">
        <v>25</v>
      </c>
      <c r="D81" s="21" t="s">
        <v>31</v>
      </c>
      <c r="E81" s="22" t="n">
        <v>41483</v>
      </c>
      <c r="F81" s="23" t="n">
        <v>0.447916666666667</v>
      </c>
      <c r="G81" s="23" t="n">
        <v>0.583333333333333</v>
      </c>
      <c r="H81" s="24" t="n">
        <f aca="false">(G81-F81)*24</f>
        <v>3.24999999999998</v>
      </c>
      <c r="I81" s="25" t="n">
        <f aca="false">VLOOKUP(C81,$M$10:$O$12,3)</f>
        <v>200</v>
      </c>
      <c r="J81" s="28" t="n">
        <f aca="false">H81*I81*24</f>
        <v>15599.9999999999</v>
      </c>
    </row>
    <row r="82" customFormat="false" ht="13.8" hidden="false" customHeight="false" outlineLevel="0" collapsed="false">
      <c r="B82" s="20" t="n">
        <v>30</v>
      </c>
      <c r="C82" s="21" t="s">
        <v>25</v>
      </c>
      <c r="D82" s="21" t="s">
        <v>34</v>
      </c>
      <c r="E82" s="22" t="n">
        <v>41484</v>
      </c>
      <c r="F82" s="23" t="n">
        <v>0.458333333333333</v>
      </c>
      <c r="G82" s="23" t="n">
        <v>0.666666666666667</v>
      </c>
      <c r="H82" s="24" t="n">
        <f aca="false">(G82-F82)*24</f>
        <v>5.00000000000002</v>
      </c>
      <c r="I82" s="25" t="n">
        <f aca="false">VLOOKUP(C82,$M$10:$O$12,3)</f>
        <v>200</v>
      </c>
      <c r="J82" s="28" t="n">
        <f aca="false">H82*I82*24</f>
        <v>24000.0000000001</v>
      </c>
    </row>
    <row r="83" customFormat="false" ht="13.8" hidden="false" customHeight="false" outlineLevel="0" collapsed="false">
      <c r="B83" s="20" t="n">
        <v>31</v>
      </c>
      <c r="C83" s="21" t="s">
        <v>28</v>
      </c>
      <c r="D83" s="21" t="s">
        <v>35</v>
      </c>
      <c r="E83" s="22" t="n">
        <v>41471</v>
      </c>
      <c r="F83" s="23" t="n">
        <v>0.375</v>
      </c>
      <c r="G83" s="23" t="n">
        <v>0.6875</v>
      </c>
      <c r="H83" s="24" t="n">
        <f aca="false">(G83-F83)*24</f>
        <v>7.5</v>
      </c>
      <c r="I83" s="25" t="n">
        <f aca="false">VLOOKUP(C83,$M$10:$O$12,3)</f>
        <v>150</v>
      </c>
      <c r="J83" s="28" t="n">
        <f aca="false">H83*I83*24</f>
        <v>27000</v>
      </c>
    </row>
    <row r="84" customFormat="false" ht="13.8" hidden="false" customHeight="false" outlineLevel="0" collapsed="false">
      <c r="B84" s="20" t="n">
        <v>31</v>
      </c>
      <c r="C84" s="21" t="s">
        <v>28</v>
      </c>
      <c r="D84" s="21" t="s">
        <v>36</v>
      </c>
      <c r="E84" s="22" t="n">
        <v>41472</v>
      </c>
      <c r="F84" s="23" t="n">
        <v>0.416666666666667</v>
      </c>
      <c r="G84" s="23" t="n">
        <v>0.739583333333333</v>
      </c>
      <c r="H84" s="24" t="n">
        <f aca="false">(G84-F84)*24</f>
        <v>7.74999999999998</v>
      </c>
      <c r="I84" s="25" t="n">
        <f aca="false">VLOOKUP(C84,$M$10:$O$12,3)</f>
        <v>150</v>
      </c>
      <c r="J84" s="28" t="n">
        <f aca="false">H84*I84*24</f>
        <v>27899.9999999999</v>
      </c>
    </row>
    <row r="85" customFormat="false" ht="13.8" hidden="false" customHeight="false" outlineLevel="0" collapsed="false">
      <c r="B85" s="20" t="n">
        <v>32</v>
      </c>
      <c r="C85" s="21" t="s">
        <v>32</v>
      </c>
      <c r="D85" s="21" t="s">
        <v>37</v>
      </c>
      <c r="E85" s="22" t="n">
        <v>41473</v>
      </c>
      <c r="F85" s="23" t="n">
        <v>0.354166666666667</v>
      </c>
      <c r="G85" s="23" t="n">
        <v>0.916666666666667</v>
      </c>
      <c r="H85" s="24" t="n">
        <f aca="false">(G85-F85)*24</f>
        <v>13.5</v>
      </c>
      <c r="I85" s="25" t="n">
        <f aca="false">VLOOKUP(C85,$M$10:$O$12,3)</f>
        <v>95</v>
      </c>
      <c r="J85" s="28" t="n">
        <f aca="false">H85*I85*24</f>
        <v>30780</v>
      </c>
    </row>
    <row r="86" customFormat="false" ht="13.8" hidden="false" customHeight="false" outlineLevel="0" collapsed="false">
      <c r="B86" s="20" t="n">
        <v>33</v>
      </c>
      <c r="C86" s="21" t="s">
        <v>25</v>
      </c>
      <c r="D86" s="21" t="s">
        <v>26</v>
      </c>
      <c r="E86" s="22" t="n">
        <v>41477</v>
      </c>
      <c r="F86" s="23" t="n">
        <v>0.354166666666667</v>
      </c>
      <c r="G86" s="23" t="n">
        <v>0.875</v>
      </c>
      <c r="H86" s="24" t="n">
        <f aca="false">(G86-F86)*24</f>
        <v>12.5</v>
      </c>
      <c r="I86" s="25" t="n">
        <f aca="false">VLOOKUP(C86,$M$10:$O$12,3)</f>
        <v>200</v>
      </c>
      <c r="J86" s="28" t="n">
        <f aca="false">H86*I86*24</f>
        <v>60000</v>
      </c>
    </row>
    <row r="87" customFormat="false" ht="13.8" hidden="false" customHeight="false" outlineLevel="0" collapsed="false">
      <c r="B87" s="20" t="n">
        <v>33</v>
      </c>
      <c r="C87" s="21" t="s">
        <v>25</v>
      </c>
      <c r="D87" s="21" t="s">
        <v>29</v>
      </c>
      <c r="E87" s="22" t="n">
        <v>41478</v>
      </c>
      <c r="F87" s="23" t="n">
        <v>0.333333333333333</v>
      </c>
      <c r="G87" s="23" t="n">
        <v>0.708333333333333</v>
      </c>
      <c r="H87" s="24" t="n">
        <f aca="false">(G87-F87)*24</f>
        <v>9</v>
      </c>
      <c r="I87" s="25" t="n">
        <f aca="false">VLOOKUP(C87,$M$10:$O$12,3)</f>
        <v>200</v>
      </c>
      <c r="J87" s="28" t="n">
        <f aca="false">H87*I87*24</f>
        <v>43200</v>
      </c>
    </row>
    <row r="88" customFormat="false" ht="13.8" hidden="false" customHeight="false" outlineLevel="0" collapsed="false">
      <c r="B88" s="20" t="n">
        <v>33</v>
      </c>
      <c r="C88" s="21" t="s">
        <v>25</v>
      </c>
      <c r="D88" s="21" t="s">
        <v>31</v>
      </c>
      <c r="E88" s="22" t="n">
        <v>41482</v>
      </c>
      <c r="F88" s="23" t="n">
        <v>0.333333333333333</v>
      </c>
      <c r="G88" s="23" t="n">
        <v>0.75</v>
      </c>
      <c r="H88" s="24" t="n">
        <f aca="false">(G88-F88)*24</f>
        <v>10</v>
      </c>
      <c r="I88" s="25" t="n">
        <f aca="false">VLOOKUP(C88,$M$10:$O$12,3)</f>
        <v>200</v>
      </c>
      <c r="J88" s="28" t="n">
        <f aca="false">H88*I88*24</f>
        <v>48000</v>
      </c>
    </row>
    <row r="89" customFormat="false" ht="13.8" hidden="false" customHeight="false" outlineLevel="0" collapsed="false">
      <c r="B89" s="20" t="n">
        <v>33</v>
      </c>
      <c r="C89" s="21" t="s">
        <v>25</v>
      </c>
      <c r="D89" s="21" t="s">
        <v>34</v>
      </c>
      <c r="E89" s="22" t="n">
        <v>41483</v>
      </c>
      <c r="F89" s="23" t="n">
        <v>0.40625</v>
      </c>
      <c r="G89" s="23" t="n">
        <v>0.833333333333333</v>
      </c>
      <c r="H89" s="24" t="n">
        <f aca="false">(G89-F89)*24</f>
        <v>10.25</v>
      </c>
      <c r="I89" s="25" t="n">
        <f aca="false">VLOOKUP(C89,$M$10:$O$12,3)</f>
        <v>200</v>
      </c>
      <c r="J89" s="28" t="n">
        <f aca="false">H89*I89*24</f>
        <v>49200</v>
      </c>
    </row>
    <row r="90" customFormat="false" ht="13.8" hidden="false" customHeight="false" outlineLevel="0" collapsed="false">
      <c r="B90" s="20" t="n">
        <v>33</v>
      </c>
      <c r="C90" s="21" t="s">
        <v>25</v>
      </c>
      <c r="D90" s="21" t="s">
        <v>35</v>
      </c>
      <c r="E90" s="22" t="n">
        <v>41484</v>
      </c>
      <c r="F90" s="23" t="n">
        <v>0.322916666666667</v>
      </c>
      <c r="G90" s="23" t="n">
        <v>0.708333333333333</v>
      </c>
      <c r="H90" s="24" t="n">
        <f aca="false">(G90-F90)*24</f>
        <v>9.24999999999998</v>
      </c>
      <c r="I90" s="25" t="n">
        <f aca="false">VLOOKUP(C90,$M$10:$O$12,3)</f>
        <v>200</v>
      </c>
      <c r="J90" s="28" t="n">
        <f aca="false">H90*I90*24</f>
        <v>44399.9999999999</v>
      </c>
    </row>
    <row r="91" customFormat="false" ht="13.8" hidden="false" customHeight="false" outlineLevel="0" collapsed="false">
      <c r="B91" s="20" t="n">
        <v>33</v>
      </c>
      <c r="C91" s="21" t="s">
        <v>25</v>
      </c>
      <c r="D91" s="21" t="s">
        <v>36</v>
      </c>
      <c r="E91" s="22" t="n">
        <v>41486</v>
      </c>
      <c r="F91" s="23" t="n">
        <v>0.25</v>
      </c>
      <c r="G91" s="23" t="n">
        <v>0.625</v>
      </c>
      <c r="H91" s="24" t="n">
        <f aca="false">(G91-F91)*24</f>
        <v>9</v>
      </c>
      <c r="I91" s="25" t="n">
        <f aca="false">VLOOKUP(C91,$M$10:$O$12,3)</f>
        <v>200</v>
      </c>
      <c r="J91" s="28" t="n">
        <f aca="false">H91*I91*24</f>
        <v>43200</v>
      </c>
    </row>
    <row r="92" customFormat="false" ht="13.8" hidden="false" customHeight="false" outlineLevel="0" collapsed="false">
      <c r="B92" s="20" t="n">
        <v>34</v>
      </c>
      <c r="C92" s="21" t="s">
        <v>25</v>
      </c>
      <c r="D92" s="21" t="s">
        <v>37</v>
      </c>
      <c r="E92" s="22" t="n">
        <v>41467</v>
      </c>
      <c r="F92" s="23" t="n">
        <v>0.25</v>
      </c>
      <c r="G92" s="23" t="n">
        <v>0.75</v>
      </c>
      <c r="H92" s="24" t="n">
        <f aca="false">(G92-F92)*24</f>
        <v>12</v>
      </c>
      <c r="I92" s="25" t="n">
        <f aca="false">VLOOKUP(C92,$M$10:$O$12,3)</f>
        <v>200</v>
      </c>
      <c r="J92" s="28" t="n">
        <f aca="false">H92*I92*24</f>
        <v>57600</v>
      </c>
    </row>
    <row r="93" customFormat="false" ht="13.8" hidden="false" customHeight="false" outlineLevel="0" collapsed="false">
      <c r="B93" s="20" t="n">
        <v>34</v>
      </c>
      <c r="C93" s="21" t="s">
        <v>25</v>
      </c>
      <c r="D93" s="21" t="s">
        <v>38</v>
      </c>
      <c r="E93" s="22" t="n">
        <v>41468</v>
      </c>
      <c r="F93" s="23" t="n">
        <v>0.25</v>
      </c>
      <c r="G93" s="23" t="n">
        <v>0.75</v>
      </c>
      <c r="H93" s="24" t="n">
        <f aca="false">(G93-F93)*24</f>
        <v>12</v>
      </c>
      <c r="I93" s="25" t="n">
        <f aca="false">VLOOKUP(C93,$M$10:$O$12,3)</f>
        <v>200</v>
      </c>
      <c r="J93" s="28" t="n">
        <f aca="false">H93*I93*24</f>
        <v>57600</v>
      </c>
    </row>
    <row r="94" customFormat="false" ht="13.8" hidden="false" customHeight="false" outlineLevel="0" collapsed="false">
      <c r="B94" s="20" t="n">
        <v>34</v>
      </c>
      <c r="C94" s="21" t="s">
        <v>25</v>
      </c>
      <c r="D94" s="21" t="s">
        <v>39</v>
      </c>
      <c r="E94" s="22" t="n">
        <v>41469</v>
      </c>
      <c r="F94" s="23" t="n">
        <v>0.25</v>
      </c>
      <c r="G94" s="23" t="n">
        <v>0.791666666666667</v>
      </c>
      <c r="H94" s="24" t="n">
        <f aca="false">(G94-F94)*24</f>
        <v>13</v>
      </c>
      <c r="I94" s="25" t="n">
        <f aca="false">VLOOKUP(C94,$M$10:$O$12,3)</f>
        <v>200</v>
      </c>
      <c r="J94" s="28" t="n">
        <f aca="false">H94*I94*24</f>
        <v>62400</v>
      </c>
    </row>
    <row r="95" customFormat="false" ht="13.8" hidden="false" customHeight="false" outlineLevel="0" collapsed="false">
      <c r="B95" s="20" t="n">
        <v>34</v>
      </c>
      <c r="C95" s="21" t="s">
        <v>25</v>
      </c>
      <c r="D95" s="21" t="s">
        <v>40</v>
      </c>
      <c r="E95" s="22" t="n">
        <v>41485</v>
      </c>
      <c r="F95" s="23" t="n">
        <v>0.354166666666667</v>
      </c>
      <c r="G95" s="23" t="n">
        <v>0.583333333333333</v>
      </c>
      <c r="H95" s="24" t="n">
        <f aca="false">(G95-F95)*24</f>
        <v>5.49999999999998</v>
      </c>
      <c r="I95" s="25" t="n">
        <f aca="false">VLOOKUP(C95,$M$10:$O$12,3)</f>
        <v>200</v>
      </c>
      <c r="J95" s="28" t="n">
        <f aca="false">H95*I95*24</f>
        <v>26399.9999999999</v>
      </c>
    </row>
    <row r="96" customFormat="false" ht="13.8" hidden="false" customHeight="false" outlineLevel="0" collapsed="false">
      <c r="B96" s="20" t="n">
        <v>34</v>
      </c>
      <c r="C96" s="21" t="s">
        <v>25</v>
      </c>
      <c r="D96" s="21" t="s">
        <v>34</v>
      </c>
      <c r="E96" s="22" t="n">
        <v>41486</v>
      </c>
      <c r="F96" s="23" t="n">
        <v>0.541666666666667</v>
      </c>
      <c r="G96" s="23" t="n">
        <v>0.625</v>
      </c>
      <c r="H96" s="24" t="n">
        <f aca="false">(G96-F96)*24</f>
        <v>1.99999999999999</v>
      </c>
      <c r="I96" s="25" t="n">
        <f aca="false">VLOOKUP(C96,$M$10:$O$12,3)</f>
        <v>200</v>
      </c>
      <c r="J96" s="28" t="n">
        <f aca="false">H96*I96*24</f>
        <v>9599.99999999995</v>
      </c>
    </row>
    <row r="97" customFormat="false" ht="13.8" hidden="false" customHeight="false" outlineLevel="0" collapsed="false">
      <c r="B97" s="20" t="n">
        <v>35</v>
      </c>
      <c r="C97" s="21" t="s">
        <v>28</v>
      </c>
      <c r="D97" s="21" t="s">
        <v>35</v>
      </c>
      <c r="E97" s="22" t="n">
        <v>41465</v>
      </c>
      <c r="F97" s="23" t="n">
        <v>0.375</v>
      </c>
      <c r="G97" s="23" t="n">
        <v>0.666666666666667</v>
      </c>
      <c r="H97" s="24" t="n">
        <f aca="false">(G97-F97)*24</f>
        <v>7.00000000000001</v>
      </c>
      <c r="I97" s="25" t="n">
        <f aca="false">VLOOKUP(C97,$M$10:$O$12,3)</f>
        <v>150</v>
      </c>
      <c r="J97" s="28" t="n">
        <f aca="false">H97*I97*24</f>
        <v>25200</v>
      </c>
    </row>
    <row r="98" customFormat="false" ht="13.8" hidden="false" customHeight="false" outlineLevel="0" collapsed="false">
      <c r="B98" s="20" t="n">
        <v>35</v>
      </c>
      <c r="C98" s="21" t="s">
        <v>28</v>
      </c>
      <c r="D98" s="21" t="s">
        <v>36</v>
      </c>
      <c r="E98" s="22" t="n">
        <v>41467</v>
      </c>
      <c r="F98" s="23" t="n">
        <v>0.375</v>
      </c>
      <c r="G98" s="23" t="n">
        <v>0.5</v>
      </c>
      <c r="H98" s="24" t="n">
        <f aca="false">(G98-F98)*24</f>
        <v>3</v>
      </c>
      <c r="I98" s="25" t="n">
        <f aca="false">VLOOKUP(C98,$M$10:$O$12,3)</f>
        <v>150</v>
      </c>
      <c r="J98" s="28" t="n">
        <f aca="false">H98*I98*24</f>
        <v>10800</v>
      </c>
    </row>
    <row r="99" customFormat="false" ht="13.8" hidden="false" customHeight="false" outlineLevel="0" collapsed="false">
      <c r="B99" s="20" t="n">
        <v>36</v>
      </c>
      <c r="C99" s="21" t="s">
        <v>28</v>
      </c>
      <c r="D99" s="21" t="s">
        <v>37</v>
      </c>
      <c r="E99" s="22" t="n">
        <v>41469</v>
      </c>
      <c r="F99" s="23" t="n">
        <v>0.416666666666667</v>
      </c>
      <c r="G99" s="23" t="n">
        <v>0.583333333333333</v>
      </c>
      <c r="H99" s="24" t="n">
        <f aca="false">(G99-F99)*24</f>
        <v>3.99999999999998</v>
      </c>
      <c r="I99" s="25" t="n">
        <f aca="false">VLOOKUP(C99,$M$10:$O$12,3)</f>
        <v>150</v>
      </c>
      <c r="J99" s="28" t="n">
        <f aca="false">H99*I99*24</f>
        <v>14399.9999999999</v>
      </c>
    </row>
    <row r="100" customFormat="false" ht="13.8" hidden="false" customHeight="false" outlineLevel="0" collapsed="false">
      <c r="B100" s="20" t="n">
        <v>36</v>
      </c>
      <c r="C100" s="21" t="s">
        <v>28</v>
      </c>
      <c r="D100" s="21" t="s">
        <v>38</v>
      </c>
      <c r="E100" s="22" t="n">
        <v>41472</v>
      </c>
      <c r="F100" s="23" t="n">
        <v>0.354166666666667</v>
      </c>
      <c r="G100" s="23" t="n">
        <v>0.666666666666667</v>
      </c>
      <c r="H100" s="24" t="n">
        <f aca="false">(G100-F100)*24</f>
        <v>7.5</v>
      </c>
      <c r="I100" s="25" t="n">
        <f aca="false">VLOOKUP(C100,$M$10:$O$12,3)</f>
        <v>150</v>
      </c>
      <c r="J100" s="28" t="n">
        <f aca="false">H100*I100*24</f>
        <v>27000</v>
      </c>
    </row>
    <row r="101" customFormat="false" ht="13.8" hidden="false" customHeight="false" outlineLevel="0" collapsed="false">
      <c r="B101" s="20" t="n">
        <v>36</v>
      </c>
      <c r="C101" s="21" t="s">
        <v>28</v>
      </c>
      <c r="D101" s="21" t="s">
        <v>36</v>
      </c>
      <c r="E101" s="22" t="n">
        <v>41473</v>
      </c>
      <c r="F101" s="23" t="n">
        <v>0.333333333333333</v>
      </c>
      <c r="G101" s="23" t="n">
        <v>0.708333333333333</v>
      </c>
      <c r="H101" s="24" t="n">
        <f aca="false">(G101-F101)*24</f>
        <v>9</v>
      </c>
      <c r="I101" s="25" t="n">
        <f aca="false">VLOOKUP(C101,$M$10:$O$12,3)</f>
        <v>150</v>
      </c>
      <c r="J101" s="28" t="n">
        <f aca="false">H101*I101*24</f>
        <v>32400</v>
      </c>
    </row>
    <row r="102" customFormat="false" ht="13.8" hidden="false" customHeight="false" outlineLevel="0" collapsed="false">
      <c r="B102" s="20" t="n">
        <v>36</v>
      </c>
      <c r="C102" s="21" t="s">
        <v>28</v>
      </c>
      <c r="D102" s="21" t="s">
        <v>37</v>
      </c>
      <c r="E102" s="22" t="n">
        <v>41475</v>
      </c>
      <c r="F102" s="23" t="n">
        <v>0.333333333333333</v>
      </c>
      <c r="G102" s="23" t="n">
        <v>0.729166666666667</v>
      </c>
      <c r="H102" s="24" t="n">
        <f aca="false">(G102-F102)*24</f>
        <v>9.50000000000002</v>
      </c>
      <c r="I102" s="25" t="n">
        <f aca="false">VLOOKUP(C102,$M$10:$O$12,3)</f>
        <v>150</v>
      </c>
      <c r="J102" s="28" t="n">
        <f aca="false">H102*I102*24</f>
        <v>34200.0000000001</v>
      </c>
    </row>
    <row r="103" customFormat="false" ht="13.8" hidden="false" customHeight="false" outlineLevel="0" collapsed="false">
      <c r="B103" s="20" t="n">
        <v>36</v>
      </c>
      <c r="C103" s="21" t="s">
        <v>28</v>
      </c>
      <c r="D103" s="21" t="s">
        <v>38</v>
      </c>
      <c r="E103" s="22" t="n">
        <v>41476</v>
      </c>
      <c r="F103" s="23" t="n">
        <v>0.40625</v>
      </c>
      <c r="G103" s="23" t="n">
        <v>0.75</v>
      </c>
      <c r="H103" s="24" t="n">
        <f aca="false">(G103-F103)*24</f>
        <v>8.25</v>
      </c>
      <c r="I103" s="25" t="n">
        <f aca="false">VLOOKUP(C103,$M$10:$O$12,3)</f>
        <v>150</v>
      </c>
      <c r="J103" s="28" t="n">
        <f aca="false">H103*I103*24</f>
        <v>29700</v>
      </c>
    </row>
    <row r="104" customFormat="false" ht="13.8" hidden="false" customHeight="false" outlineLevel="0" collapsed="false">
      <c r="B104" s="20" t="n">
        <v>37</v>
      </c>
      <c r="C104" s="21" t="s">
        <v>25</v>
      </c>
      <c r="D104" s="21" t="s">
        <v>26</v>
      </c>
      <c r="E104" s="22" t="n">
        <v>41473</v>
      </c>
      <c r="F104" s="23" t="n">
        <v>0.354166666666667</v>
      </c>
      <c r="G104" s="23" t="n">
        <v>0.6875</v>
      </c>
      <c r="H104" s="24" t="n">
        <f aca="false">(G104-F104)*24</f>
        <v>7.99999999999999</v>
      </c>
      <c r="I104" s="25" t="n">
        <f aca="false">VLOOKUP(C104,$M$10:$O$12,3)</f>
        <v>200</v>
      </c>
      <c r="J104" s="28" t="n">
        <f aca="false">H104*I104*24</f>
        <v>38399.9999999999</v>
      </c>
    </row>
    <row r="105" customFormat="false" ht="13.8" hidden="false" customHeight="false" outlineLevel="0" collapsed="false">
      <c r="B105" s="20" t="n">
        <v>37</v>
      </c>
      <c r="C105" s="21" t="s">
        <v>25</v>
      </c>
      <c r="D105" s="21" t="s">
        <v>29</v>
      </c>
      <c r="E105" s="22" t="n">
        <v>41474</v>
      </c>
      <c r="F105" s="23" t="n">
        <v>0.354166666666667</v>
      </c>
      <c r="G105" s="23" t="n">
        <v>0.916666666666667</v>
      </c>
      <c r="H105" s="24" t="n">
        <f aca="false">(G105-F105)*24</f>
        <v>13.5</v>
      </c>
      <c r="I105" s="25" t="n">
        <f aca="false">VLOOKUP(C105,$M$10:$O$12,3)</f>
        <v>200</v>
      </c>
      <c r="J105" s="28" t="n">
        <f aca="false">H105*I105*24</f>
        <v>64800</v>
      </c>
    </row>
    <row r="106" customFormat="false" ht="13.8" hidden="false" customHeight="false" outlineLevel="0" collapsed="false">
      <c r="B106" s="20" t="n">
        <v>38</v>
      </c>
      <c r="C106" s="21" t="s">
        <v>25</v>
      </c>
      <c r="D106" s="21" t="s">
        <v>31</v>
      </c>
      <c r="E106" s="22" t="n">
        <v>41482</v>
      </c>
      <c r="F106" s="23" t="n">
        <v>0.354166666666667</v>
      </c>
      <c r="G106" s="23" t="n">
        <v>0.875</v>
      </c>
      <c r="H106" s="24" t="n">
        <f aca="false">(G106-F106)*24</f>
        <v>12.5</v>
      </c>
      <c r="I106" s="25" t="n">
        <f aca="false">VLOOKUP(C106,$M$10:$O$12,3)</f>
        <v>200</v>
      </c>
      <c r="J106" s="28" t="n">
        <f aca="false">H106*I106*24</f>
        <v>60000</v>
      </c>
    </row>
    <row r="107" customFormat="false" ht="13.8" hidden="false" customHeight="false" outlineLevel="0" collapsed="false">
      <c r="B107" s="20" t="n">
        <v>38</v>
      </c>
      <c r="C107" s="21" t="s">
        <v>25</v>
      </c>
      <c r="D107" s="21" t="s">
        <v>34</v>
      </c>
      <c r="E107" s="22" t="n">
        <v>41481</v>
      </c>
      <c r="F107" s="23" t="n">
        <v>0.541666666666667</v>
      </c>
      <c r="G107" s="23" t="n">
        <v>0.75</v>
      </c>
      <c r="H107" s="24" t="n">
        <f aca="false">(G107-F107)*24</f>
        <v>4.99999999999999</v>
      </c>
      <c r="I107" s="25" t="n">
        <f aca="false">VLOOKUP(C107,$M$10:$O$12,3)</f>
        <v>200</v>
      </c>
      <c r="J107" s="28" t="n">
        <f aca="false">H107*I107*24</f>
        <v>24000</v>
      </c>
    </row>
    <row r="108" customFormat="false" ht="13.8" hidden="false" customHeight="false" outlineLevel="0" collapsed="false">
      <c r="B108" s="20" t="n">
        <v>39</v>
      </c>
      <c r="C108" s="21" t="s">
        <v>32</v>
      </c>
      <c r="D108" s="21" t="s">
        <v>35</v>
      </c>
      <c r="E108" s="22" t="n">
        <v>41483</v>
      </c>
      <c r="F108" s="23" t="n">
        <v>0.375</v>
      </c>
      <c r="G108" s="23" t="n">
        <v>0.583333333333333</v>
      </c>
      <c r="H108" s="24" t="n">
        <f aca="false">(G108-F108)*24</f>
        <v>4.99999999999999</v>
      </c>
      <c r="I108" s="25" t="n">
        <f aca="false">VLOOKUP(C108,$M$10:$O$12,3)</f>
        <v>95</v>
      </c>
      <c r="J108" s="28" t="n">
        <f aca="false">H108*I108*24</f>
        <v>11400</v>
      </c>
    </row>
    <row r="109" customFormat="false" ht="13.8" hidden="false" customHeight="false" outlineLevel="0" collapsed="false">
      <c r="B109" s="20" t="n">
        <v>39</v>
      </c>
      <c r="C109" s="21" t="s">
        <v>32</v>
      </c>
      <c r="D109" s="21" t="s">
        <v>36</v>
      </c>
      <c r="E109" s="22" t="n">
        <v>41486</v>
      </c>
      <c r="F109" s="23" t="n">
        <v>0.5</v>
      </c>
      <c r="G109" s="23" t="n">
        <v>0.625</v>
      </c>
      <c r="H109" s="24" t="n">
        <f aca="false">(G109-F109)*24</f>
        <v>3</v>
      </c>
      <c r="I109" s="25" t="n">
        <f aca="false">VLOOKUP(C109,$M$10:$O$12,3)</f>
        <v>95</v>
      </c>
      <c r="J109" s="28" t="n">
        <f aca="false">H109*I109*24</f>
        <v>6840</v>
      </c>
    </row>
    <row r="110" customFormat="false" ht="13.8" hidden="false" customHeight="false" outlineLevel="0" collapsed="false">
      <c r="B110" s="20" t="n">
        <v>40</v>
      </c>
      <c r="C110" s="21" t="s">
        <v>28</v>
      </c>
      <c r="D110" s="21" t="s">
        <v>37</v>
      </c>
      <c r="E110" s="22" t="n">
        <v>41457</v>
      </c>
      <c r="F110" s="23" t="n">
        <v>0.583333333333333</v>
      </c>
      <c r="G110" s="23" t="n">
        <v>0.666666666666667</v>
      </c>
      <c r="H110" s="24" t="n">
        <f aca="false">(G110-F110)*24</f>
        <v>2.00000000000002</v>
      </c>
      <c r="I110" s="25" t="n">
        <f aca="false">VLOOKUP(C110,$M$10:$O$12,3)</f>
        <v>150</v>
      </c>
      <c r="J110" s="28" t="n">
        <f aca="false">H110*I110*24</f>
        <v>7200.00000000007</v>
      </c>
    </row>
    <row r="111" customFormat="false" ht="13.8" hidden="false" customHeight="false" outlineLevel="0" collapsed="false">
      <c r="B111" s="20" t="n">
        <v>40</v>
      </c>
      <c r="C111" s="21" t="s">
        <v>28</v>
      </c>
      <c r="D111" s="21" t="s">
        <v>38</v>
      </c>
      <c r="E111" s="22" t="n">
        <v>41473</v>
      </c>
      <c r="F111" s="23" t="n">
        <v>0.333333333333333</v>
      </c>
      <c r="G111" s="23" t="n">
        <v>0.5</v>
      </c>
      <c r="H111" s="24" t="n">
        <f aca="false">(G111-F111)*24</f>
        <v>4.00000000000001</v>
      </c>
      <c r="I111" s="25" t="n">
        <f aca="false">VLOOKUP(C111,$M$10:$O$12,3)</f>
        <v>150</v>
      </c>
      <c r="J111" s="28" t="n">
        <f aca="false">H111*I111*24</f>
        <v>14400</v>
      </c>
    </row>
    <row r="112" customFormat="false" ht="14.4" hidden="false" customHeight="false" outlineLevel="0" collapsed="false">
      <c r="B112" s="7"/>
      <c r="C112" s="7"/>
      <c r="D112" s="29"/>
      <c r="E112" s="7"/>
      <c r="F112" s="7"/>
      <c r="G112" s="30"/>
      <c r="H112" s="7"/>
      <c r="I112" s="7"/>
    </row>
    <row r="113" customFormat="false" ht="14.4" hidden="false" customHeight="false" outlineLevel="0" collapsed="false">
      <c r="B113" s="7"/>
      <c r="C113" s="7"/>
      <c r="D113" s="29"/>
      <c r="E113" s="7"/>
      <c r="F113" s="7"/>
      <c r="G113" s="30"/>
      <c r="H113" s="7"/>
      <c r="I113" s="7"/>
    </row>
    <row r="114" customFormat="false" ht="14.4" hidden="false" customHeight="false" outlineLevel="0" collapsed="false">
      <c r="B114" s="7"/>
      <c r="C114" s="7"/>
      <c r="D114" s="7"/>
      <c r="E114" s="7"/>
      <c r="F114" s="7"/>
      <c r="G114" s="30"/>
      <c r="H114" s="7"/>
      <c r="I114" s="7"/>
    </row>
    <row r="115" customFormat="false" ht="14.4" hidden="false" customHeight="false" outlineLevel="0" collapsed="false">
      <c r="B115" s="7"/>
      <c r="C115" s="7"/>
      <c r="D115" s="7"/>
      <c r="E115" s="7"/>
      <c r="F115" s="7"/>
      <c r="G115" s="7"/>
      <c r="H115" s="7"/>
      <c r="I115" s="7"/>
    </row>
    <row r="116" customFormat="false" ht="14.4" hidden="false" customHeight="false" outlineLevel="0" collapsed="false">
      <c r="B116" s="7"/>
      <c r="C116" s="7"/>
      <c r="D116" s="7"/>
      <c r="E116" s="7"/>
      <c r="F116" s="7"/>
      <c r="G116" s="7"/>
      <c r="H116" s="7"/>
      <c r="I116" s="7"/>
    </row>
    <row r="117" customFormat="false" ht="14.4" hidden="false" customHeight="false" outlineLevel="0" collapsed="false">
      <c r="B117" s="7"/>
      <c r="C117" s="7"/>
      <c r="D117" s="7"/>
      <c r="E117" s="7"/>
      <c r="F117" s="7"/>
      <c r="G117" s="7"/>
      <c r="H117" s="7"/>
      <c r="I117" s="7"/>
    </row>
    <row r="118" customFormat="false" ht="14.4" hidden="false" customHeight="false" outlineLevel="0" collapsed="false">
      <c r="B118" s="7"/>
      <c r="C118" s="7"/>
      <c r="D118" s="7"/>
      <c r="E118" s="7"/>
      <c r="F118" s="7"/>
      <c r="G118" s="7"/>
      <c r="H118" s="7"/>
      <c r="I118" s="7"/>
    </row>
    <row r="119" customFormat="false" ht="14.4" hidden="false" customHeight="false" outlineLevel="0" collapsed="false">
      <c r="B119" s="7"/>
      <c r="C119" s="7"/>
      <c r="D119" s="7"/>
      <c r="E119" s="7"/>
      <c r="F119" s="7"/>
      <c r="G119" s="7"/>
      <c r="H119" s="7"/>
      <c r="I119" s="7"/>
    </row>
    <row r="120" customFormat="false" ht="14.4" hidden="false" customHeight="false" outlineLevel="0" collapsed="false">
      <c r="B120" s="7"/>
      <c r="C120" s="7"/>
      <c r="D120" s="7"/>
      <c r="E120" s="7"/>
      <c r="F120" s="7"/>
      <c r="G120" s="7"/>
      <c r="H120" s="7"/>
      <c r="I120" s="7"/>
    </row>
    <row r="121" customFormat="false" ht="14.4" hidden="false" customHeight="false" outlineLevel="0" collapsed="false">
      <c r="B121" s="7"/>
      <c r="C121" s="7"/>
      <c r="D121" s="7"/>
      <c r="E121" s="7"/>
      <c r="F121" s="7"/>
      <c r="G121" s="7"/>
      <c r="H121" s="7"/>
      <c r="I121" s="7"/>
    </row>
    <row r="122" customFormat="false" ht="14.4" hidden="false" customHeight="false" outlineLevel="0" collapsed="false">
      <c r="B122" s="7"/>
      <c r="C122" s="7"/>
      <c r="D122" s="7"/>
      <c r="E122" s="7"/>
      <c r="F122" s="7"/>
      <c r="G122" s="7"/>
      <c r="H122" s="7"/>
      <c r="I122" s="7"/>
    </row>
    <row r="123" customFormat="false" ht="14.4" hidden="false" customHeight="false" outlineLevel="0" collapsed="false">
      <c r="B123" s="7"/>
      <c r="C123" s="7"/>
      <c r="D123" s="7"/>
      <c r="E123" s="7"/>
      <c r="F123" s="7"/>
      <c r="G123" s="7"/>
      <c r="H123" s="7"/>
      <c r="I123" s="7"/>
    </row>
    <row r="124" customFormat="false" ht="14.4" hidden="false" customHeight="false" outlineLevel="0" collapsed="false">
      <c r="B124" s="7"/>
      <c r="C124" s="7"/>
      <c r="D124" s="7"/>
      <c r="E124" s="7"/>
      <c r="F124" s="7"/>
      <c r="G124" s="7"/>
      <c r="H124" s="7"/>
      <c r="I124" s="7"/>
    </row>
    <row r="125" customFormat="false" ht="14.4" hidden="false" customHeight="false" outlineLevel="0" collapsed="false">
      <c r="B125" s="7"/>
      <c r="C125" s="7"/>
      <c r="D125" s="7"/>
      <c r="E125" s="7"/>
      <c r="F125" s="7"/>
      <c r="G125" s="7"/>
      <c r="H125" s="7"/>
      <c r="I125" s="7"/>
    </row>
    <row r="126" customFormat="false" ht="14.4" hidden="false" customHeight="false" outlineLevel="0" collapsed="false">
      <c r="B126" s="7"/>
      <c r="C126" s="7"/>
      <c r="D126" s="7"/>
      <c r="E126" s="7"/>
      <c r="F126" s="7"/>
      <c r="G126" s="7"/>
      <c r="H126" s="7"/>
      <c r="I126" s="7"/>
    </row>
    <row r="127" customFormat="false" ht="14.4" hidden="false" customHeight="false" outlineLevel="0" collapsed="false">
      <c r="B127" s="7"/>
      <c r="C127" s="7"/>
      <c r="D127" s="7"/>
      <c r="E127" s="7"/>
      <c r="F127" s="7"/>
      <c r="G127" s="7"/>
      <c r="H127" s="7"/>
      <c r="I127" s="7"/>
    </row>
    <row r="128" customFormat="false" ht="14.4" hidden="false" customHeight="false" outlineLevel="0" collapsed="false">
      <c r="B128" s="7"/>
      <c r="C128" s="7"/>
      <c r="D128" s="7"/>
      <c r="E128" s="7"/>
      <c r="F128" s="7"/>
      <c r="G128" s="7"/>
      <c r="H128" s="7"/>
      <c r="I128" s="7"/>
    </row>
    <row r="129" customFormat="false" ht="14.4" hidden="false" customHeight="false" outlineLevel="0" collapsed="false">
      <c r="B129" s="7"/>
      <c r="C129" s="7"/>
      <c r="D129" s="7"/>
      <c r="E129" s="7"/>
      <c r="F129" s="7"/>
      <c r="G129" s="7"/>
      <c r="H129" s="7"/>
      <c r="I129" s="7"/>
    </row>
    <row r="130" customFormat="false" ht="14.4" hidden="false" customHeight="false" outlineLevel="0" collapsed="false">
      <c r="B130" s="7"/>
      <c r="C130" s="7"/>
      <c r="D130" s="7"/>
      <c r="E130" s="7"/>
      <c r="F130" s="7"/>
      <c r="G130" s="7"/>
      <c r="H130" s="7"/>
      <c r="I130" s="7"/>
    </row>
    <row r="131" customFormat="false" ht="14.4" hidden="false" customHeight="false" outlineLevel="0" collapsed="false">
      <c r="B131" s="7"/>
      <c r="C131" s="7"/>
      <c r="D131" s="7"/>
      <c r="E131" s="7"/>
      <c r="F131" s="7"/>
      <c r="G131" s="7"/>
      <c r="H131" s="7"/>
      <c r="I131" s="7"/>
    </row>
    <row r="132" customFormat="false" ht="14.4" hidden="false" customHeight="false" outlineLevel="0" collapsed="false">
      <c r="B132" s="7"/>
      <c r="C132" s="7"/>
      <c r="D132" s="7"/>
      <c r="E132" s="7"/>
      <c r="F132" s="7"/>
      <c r="G132" s="7"/>
      <c r="H132" s="7"/>
      <c r="I132" s="7"/>
    </row>
    <row r="133" customFormat="false" ht="14.4" hidden="false" customHeight="false" outlineLevel="0" collapsed="false">
      <c r="B133" s="7"/>
      <c r="C133" s="7"/>
      <c r="D133" s="7"/>
      <c r="E133" s="7"/>
      <c r="F133" s="7"/>
      <c r="G133" s="7"/>
      <c r="H133" s="7"/>
      <c r="I133" s="7"/>
    </row>
    <row r="134" customFormat="false" ht="14.4" hidden="false" customHeight="false" outlineLevel="0" collapsed="false">
      <c r="B134" s="7"/>
      <c r="C134" s="7"/>
      <c r="D134" s="7"/>
      <c r="E134" s="7"/>
      <c r="F134" s="7"/>
      <c r="G134" s="7"/>
      <c r="H134" s="7"/>
      <c r="I134" s="7"/>
    </row>
    <row r="135" customFormat="false" ht="14.4" hidden="false" customHeight="false" outlineLevel="0" collapsed="false">
      <c r="B135" s="7"/>
      <c r="C135" s="7"/>
      <c r="D135" s="7"/>
      <c r="E135" s="7"/>
      <c r="F135" s="7"/>
      <c r="G135" s="7"/>
      <c r="H135" s="7"/>
      <c r="I135" s="7"/>
    </row>
    <row r="136" customFormat="false" ht="14.4" hidden="false" customHeight="false" outlineLevel="0" collapsed="false">
      <c r="B136" s="7"/>
      <c r="C136" s="7"/>
      <c r="D136" s="7"/>
      <c r="E136" s="7"/>
      <c r="F136" s="7"/>
      <c r="G136" s="7"/>
      <c r="H136" s="7"/>
      <c r="I136" s="7"/>
    </row>
    <row r="137" customFormat="false" ht="14.4" hidden="false" customHeight="false" outlineLevel="0" collapsed="false">
      <c r="B137" s="7"/>
      <c r="C137" s="7"/>
      <c r="D137" s="7"/>
      <c r="E137" s="7"/>
      <c r="F137" s="7"/>
      <c r="G137" s="7"/>
      <c r="H137" s="7"/>
      <c r="I137" s="7"/>
    </row>
    <row r="138" customFormat="false" ht="14.4" hidden="false" customHeight="false" outlineLevel="0" collapsed="false">
      <c r="B138" s="7"/>
      <c r="C138" s="7"/>
      <c r="D138" s="7"/>
      <c r="E138" s="7"/>
      <c r="F138" s="7"/>
      <c r="G138" s="7"/>
      <c r="H138" s="7"/>
      <c r="I138" s="7"/>
    </row>
    <row r="139" customFormat="false" ht="14.4" hidden="false" customHeight="false" outlineLevel="0" collapsed="false">
      <c r="B139" s="7"/>
      <c r="C139" s="7"/>
      <c r="D139" s="7"/>
      <c r="E139" s="7"/>
      <c r="F139" s="7"/>
      <c r="G139" s="7"/>
      <c r="H139" s="7"/>
      <c r="I139" s="7"/>
    </row>
    <row r="140" customFormat="false" ht="14.4" hidden="false" customHeight="false" outlineLevel="0" collapsed="false">
      <c r="B140" s="7"/>
      <c r="C140" s="7"/>
      <c r="D140" s="7"/>
      <c r="E140" s="7"/>
      <c r="F140" s="7"/>
      <c r="G140" s="7"/>
      <c r="H140" s="7"/>
      <c r="I140" s="7"/>
    </row>
    <row r="141" customFormat="false" ht="14.4" hidden="false" customHeight="false" outlineLevel="0" collapsed="false">
      <c r="B141" s="7"/>
      <c r="C141" s="7"/>
      <c r="D141" s="7"/>
      <c r="E141" s="7"/>
      <c r="F141" s="7"/>
      <c r="G141" s="7"/>
      <c r="H141" s="7"/>
      <c r="I141" s="7"/>
    </row>
    <row r="142" customFormat="false" ht="14.4" hidden="false" customHeight="false" outlineLevel="0" collapsed="false">
      <c r="B142" s="7"/>
      <c r="C142" s="7"/>
      <c r="D142" s="7"/>
      <c r="E142" s="7"/>
      <c r="F142" s="7"/>
      <c r="G142" s="7"/>
      <c r="H142" s="7"/>
      <c r="I142" s="7"/>
    </row>
    <row r="143" customFormat="false" ht="14.4" hidden="false" customHeight="false" outlineLevel="0" collapsed="false">
      <c r="B143" s="7"/>
      <c r="C143" s="7"/>
      <c r="D143" s="7"/>
      <c r="E143" s="7"/>
      <c r="F143" s="7"/>
      <c r="G143" s="7"/>
      <c r="H143" s="7"/>
      <c r="I143" s="7"/>
    </row>
    <row r="144" customFormat="false" ht="14.4" hidden="false" customHeight="false" outlineLevel="0" collapsed="false">
      <c r="B144" s="7"/>
      <c r="C144" s="7"/>
      <c r="D144" s="7"/>
      <c r="E144" s="7"/>
      <c r="F144" s="7"/>
      <c r="G144" s="7"/>
      <c r="H144" s="7"/>
      <c r="I144" s="7"/>
    </row>
    <row r="145" customFormat="false" ht="14.4" hidden="false" customHeight="false" outlineLevel="0" collapsed="false">
      <c r="B145" s="7"/>
      <c r="C145" s="7"/>
      <c r="D145" s="7"/>
      <c r="E145" s="7"/>
      <c r="F145" s="7"/>
      <c r="G145" s="7"/>
      <c r="H145" s="7"/>
      <c r="I145" s="7"/>
    </row>
    <row r="146" customFormat="false" ht="14.4" hidden="false" customHeight="false" outlineLevel="0" collapsed="false">
      <c r="B146" s="7"/>
      <c r="C146" s="7"/>
      <c r="D146" s="7"/>
      <c r="E146" s="7"/>
      <c r="F146" s="7"/>
      <c r="G146" s="7"/>
      <c r="H146" s="7"/>
      <c r="I146" s="7"/>
    </row>
    <row r="147" customFormat="false" ht="14.4" hidden="false" customHeight="false" outlineLevel="0" collapsed="false">
      <c r="B147" s="7"/>
      <c r="C147" s="7"/>
      <c r="D147" s="7"/>
      <c r="E147" s="7"/>
      <c r="F147" s="7"/>
      <c r="G147" s="7"/>
      <c r="H147" s="7"/>
      <c r="I147" s="7"/>
    </row>
    <row r="148" customFormat="false" ht="14.4" hidden="false" customHeight="false" outlineLevel="0" collapsed="false">
      <c r="B148" s="7"/>
      <c r="C148" s="7"/>
      <c r="D148" s="7"/>
      <c r="E148" s="7"/>
      <c r="F148" s="7"/>
      <c r="G148" s="7"/>
      <c r="H148" s="7"/>
      <c r="I148" s="7"/>
    </row>
    <row r="149" customFormat="false" ht="14.4" hidden="false" customHeight="false" outlineLevel="0" collapsed="false">
      <c r="B149" s="7"/>
      <c r="C149" s="7"/>
      <c r="D149" s="7"/>
      <c r="E149" s="7"/>
      <c r="F149" s="7"/>
      <c r="G149" s="7"/>
      <c r="H149" s="7"/>
      <c r="I149" s="7"/>
    </row>
    <row r="150" customFormat="false" ht="14.4" hidden="false" customHeight="false" outlineLevel="0" collapsed="false">
      <c r="B150" s="7"/>
      <c r="C150" s="7"/>
      <c r="D150" s="7"/>
      <c r="E150" s="7"/>
      <c r="F150" s="7"/>
      <c r="G150" s="7"/>
      <c r="H150" s="7"/>
      <c r="I150" s="7"/>
    </row>
    <row r="151" customFormat="false" ht="14.4" hidden="false" customHeight="false" outlineLevel="0" collapsed="false">
      <c r="B151" s="7"/>
      <c r="C151" s="7"/>
      <c r="D151" s="7"/>
      <c r="E151" s="7"/>
      <c r="F151" s="7"/>
      <c r="G151" s="7"/>
      <c r="H151" s="7"/>
      <c r="I151" s="7"/>
    </row>
    <row r="152" customFormat="false" ht="14.4" hidden="false" customHeight="false" outlineLevel="0" collapsed="false">
      <c r="B152" s="7"/>
      <c r="C152" s="7"/>
      <c r="D152" s="7"/>
      <c r="E152" s="7"/>
      <c r="F152" s="7"/>
      <c r="G152" s="7"/>
      <c r="H152" s="7"/>
      <c r="I152" s="7"/>
    </row>
    <row r="153" customFormat="false" ht="14.4" hidden="false" customHeight="false" outlineLevel="0" collapsed="false">
      <c r="B153" s="7"/>
      <c r="C153" s="7"/>
      <c r="D153" s="7"/>
      <c r="E153" s="7"/>
      <c r="F153" s="7"/>
      <c r="G153" s="7"/>
      <c r="H153" s="7"/>
      <c r="I153" s="7"/>
    </row>
    <row r="154" customFormat="false" ht="14.4" hidden="false" customHeight="false" outlineLevel="0" collapsed="false">
      <c r="B154" s="7"/>
      <c r="C154" s="7"/>
      <c r="D154" s="7"/>
      <c r="E154" s="7"/>
      <c r="F154" s="7"/>
      <c r="G154" s="7"/>
      <c r="H154" s="7"/>
      <c r="I154" s="7"/>
    </row>
    <row r="155" customFormat="false" ht="14.4" hidden="false" customHeight="false" outlineLevel="0" collapsed="false">
      <c r="B155" s="7"/>
      <c r="C155" s="7"/>
      <c r="D155" s="7"/>
      <c r="E155" s="7"/>
      <c r="F155" s="7"/>
      <c r="G155" s="7"/>
      <c r="H155" s="7"/>
      <c r="I155" s="7"/>
    </row>
    <row r="156" customFormat="false" ht="14.4" hidden="false" customHeight="false" outlineLevel="0" collapsed="false">
      <c r="B156" s="7"/>
      <c r="C156" s="7"/>
      <c r="D156" s="7"/>
      <c r="E156" s="7"/>
      <c r="F156" s="7"/>
      <c r="G156" s="7"/>
      <c r="H156" s="7"/>
      <c r="I156" s="7"/>
    </row>
    <row r="157" customFormat="false" ht="14.4" hidden="false" customHeight="false" outlineLevel="0" collapsed="false">
      <c r="B157" s="7"/>
      <c r="C157" s="7"/>
      <c r="D157" s="7"/>
      <c r="E157" s="7"/>
      <c r="F157" s="7"/>
      <c r="G157" s="7"/>
      <c r="H157" s="7"/>
      <c r="I157" s="7"/>
    </row>
    <row r="158" customFormat="false" ht="14.4" hidden="false" customHeight="false" outlineLevel="0" collapsed="false">
      <c r="B158" s="7"/>
      <c r="C158" s="7"/>
      <c r="D158" s="7"/>
      <c r="E158" s="7"/>
      <c r="F158" s="7"/>
      <c r="G158" s="7"/>
      <c r="H158" s="7"/>
      <c r="I158" s="7"/>
    </row>
    <row r="159" customFormat="false" ht="14.4" hidden="false" customHeight="false" outlineLevel="0" collapsed="false">
      <c r="B159" s="7"/>
      <c r="C159" s="7"/>
      <c r="D159" s="7"/>
      <c r="E159" s="7"/>
      <c r="F159" s="7"/>
      <c r="G159" s="7"/>
      <c r="H159" s="7"/>
      <c r="I159" s="7"/>
    </row>
    <row r="160" customFormat="false" ht="14.4" hidden="false" customHeight="false" outlineLevel="0" collapsed="false">
      <c r="B160" s="7"/>
      <c r="C160" s="7"/>
      <c r="D160" s="7"/>
      <c r="E160" s="7"/>
      <c r="F160" s="7"/>
      <c r="G160" s="7"/>
      <c r="H160" s="7"/>
      <c r="I160" s="7"/>
    </row>
    <row r="161" customFormat="false" ht="14.4" hidden="false" customHeight="false" outlineLevel="0" collapsed="false">
      <c r="B161" s="7"/>
      <c r="C161" s="7"/>
      <c r="D161" s="7"/>
      <c r="E161" s="7"/>
      <c r="F161" s="7"/>
      <c r="G161" s="7"/>
      <c r="H161" s="7"/>
      <c r="I161" s="7"/>
    </row>
    <row r="162" customFormat="false" ht="14.4" hidden="false" customHeight="false" outlineLevel="0" collapsed="false">
      <c r="B162" s="7"/>
      <c r="C162" s="7"/>
      <c r="D162" s="7"/>
      <c r="E162" s="7"/>
      <c r="F162" s="7"/>
      <c r="G162" s="7"/>
      <c r="H162" s="7"/>
      <c r="I162" s="7"/>
    </row>
    <row r="163" customFormat="false" ht="14.4" hidden="false" customHeight="false" outlineLevel="0" collapsed="false">
      <c r="B163" s="7"/>
      <c r="C163" s="7"/>
      <c r="D163" s="7"/>
      <c r="E163" s="7"/>
      <c r="F163" s="7"/>
      <c r="G163" s="7"/>
      <c r="H163" s="7"/>
      <c r="I163" s="7"/>
    </row>
    <row r="164" customFormat="false" ht="14.4" hidden="false" customHeight="false" outlineLevel="0" collapsed="false">
      <c r="B164" s="7"/>
      <c r="C164" s="7"/>
      <c r="D164" s="7"/>
      <c r="E164" s="7"/>
      <c r="F164" s="7"/>
      <c r="G164" s="7"/>
      <c r="H164" s="7"/>
      <c r="I164" s="7"/>
    </row>
    <row r="165" customFormat="false" ht="14.4" hidden="false" customHeight="false" outlineLevel="0" collapsed="false">
      <c r="B165" s="7"/>
      <c r="C165" s="7"/>
      <c r="D165" s="7"/>
      <c r="E165" s="7"/>
      <c r="F165" s="7"/>
      <c r="G165" s="7"/>
      <c r="H165" s="7"/>
      <c r="I165" s="7"/>
    </row>
    <row r="166" customFormat="false" ht="14.4" hidden="false" customHeight="false" outlineLevel="0" collapsed="false">
      <c r="B166" s="7"/>
      <c r="C166" s="7"/>
      <c r="D166" s="7"/>
      <c r="E166" s="7"/>
      <c r="F166" s="7"/>
      <c r="G166" s="7"/>
      <c r="H166" s="7"/>
      <c r="I166" s="7"/>
    </row>
    <row r="167" customFormat="false" ht="14.4" hidden="false" customHeight="false" outlineLevel="0" collapsed="false">
      <c r="B167" s="7"/>
      <c r="C167" s="7"/>
      <c r="D167" s="7"/>
      <c r="E167" s="7"/>
      <c r="F167" s="7"/>
      <c r="G167" s="7"/>
      <c r="H167" s="7"/>
      <c r="I167" s="7"/>
    </row>
    <row r="168" customFormat="false" ht="14.4" hidden="false" customHeight="false" outlineLevel="0" collapsed="false">
      <c r="B168" s="7"/>
      <c r="C168" s="7"/>
      <c r="D168" s="7"/>
      <c r="E168" s="7"/>
      <c r="F168" s="7"/>
      <c r="G168" s="7"/>
      <c r="H168" s="7"/>
      <c r="I168" s="7"/>
    </row>
    <row r="169" customFormat="false" ht="14.4" hidden="false" customHeight="false" outlineLevel="0" collapsed="false">
      <c r="B169" s="7"/>
      <c r="C169" s="7"/>
      <c r="D169" s="7"/>
      <c r="E169" s="7"/>
      <c r="F169" s="7"/>
      <c r="G169" s="7"/>
      <c r="H169" s="7"/>
      <c r="I169" s="7"/>
    </row>
    <row r="170" customFormat="false" ht="14.4" hidden="false" customHeight="false" outlineLevel="0" collapsed="false">
      <c r="B170" s="7"/>
      <c r="C170" s="7"/>
      <c r="D170" s="7"/>
      <c r="E170" s="7"/>
      <c r="F170" s="7"/>
      <c r="G170" s="7"/>
      <c r="H170" s="7"/>
      <c r="I170" s="7"/>
    </row>
    <row r="171" customFormat="false" ht="14.4" hidden="false" customHeight="false" outlineLevel="0" collapsed="false">
      <c r="B171" s="7"/>
      <c r="C171" s="7"/>
      <c r="D171" s="7"/>
      <c r="E171" s="7"/>
      <c r="F171" s="7"/>
      <c r="G171" s="7"/>
      <c r="H171" s="7"/>
      <c r="I171" s="7"/>
    </row>
    <row r="172" customFormat="false" ht="14.4" hidden="false" customHeight="false" outlineLevel="0" collapsed="false">
      <c r="B172" s="7"/>
      <c r="C172" s="7"/>
      <c r="D172" s="7"/>
      <c r="E172" s="7"/>
      <c r="F172" s="7"/>
      <c r="G172" s="7"/>
      <c r="H172" s="7"/>
      <c r="I172" s="7"/>
    </row>
    <row r="173" customFormat="false" ht="14.4" hidden="false" customHeight="false" outlineLevel="0" collapsed="false">
      <c r="B173" s="7"/>
      <c r="C173" s="7"/>
      <c r="D173" s="7"/>
      <c r="E173" s="7"/>
      <c r="F173" s="7"/>
      <c r="G173" s="7"/>
      <c r="H173" s="7"/>
      <c r="I173" s="7"/>
    </row>
    <row r="174" customFormat="false" ht="14.4" hidden="false" customHeight="false" outlineLevel="0" collapsed="false">
      <c r="B174" s="7"/>
      <c r="C174" s="7"/>
      <c r="D174" s="7"/>
      <c r="E174" s="7"/>
      <c r="F174" s="7"/>
      <c r="G174" s="7"/>
      <c r="H174" s="7"/>
      <c r="I174" s="7"/>
    </row>
    <row r="175" customFormat="false" ht="14.4" hidden="false" customHeight="false" outlineLevel="0" collapsed="false">
      <c r="B175" s="7"/>
      <c r="C175" s="7"/>
      <c r="D175" s="7"/>
      <c r="E175" s="7"/>
      <c r="F175" s="7"/>
      <c r="G175" s="7"/>
      <c r="H175" s="7"/>
      <c r="I175" s="7"/>
    </row>
    <row r="176" customFormat="false" ht="14.4" hidden="false" customHeight="false" outlineLevel="0" collapsed="false">
      <c r="B176" s="7"/>
      <c r="C176" s="7"/>
      <c r="D176" s="7"/>
      <c r="E176" s="7"/>
      <c r="F176" s="7"/>
      <c r="G176" s="7"/>
      <c r="H176" s="7"/>
      <c r="I176" s="7"/>
    </row>
    <row r="177" customFormat="false" ht="14.4" hidden="false" customHeight="false" outlineLevel="0" collapsed="false">
      <c r="B177" s="7"/>
      <c r="C177" s="7"/>
      <c r="D177" s="7"/>
      <c r="E177" s="7"/>
      <c r="F177" s="7"/>
      <c r="G177" s="7"/>
      <c r="H177" s="7"/>
      <c r="I177" s="7"/>
    </row>
    <row r="178" customFormat="false" ht="14.4" hidden="false" customHeight="false" outlineLevel="0" collapsed="false">
      <c r="B178" s="7"/>
      <c r="C178" s="7"/>
      <c r="D178" s="7"/>
      <c r="E178" s="7"/>
      <c r="F178" s="7"/>
      <c r="G178" s="7"/>
      <c r="H178" s="7"/>
      <c r="I178" s="7"/>
    </row>
    <row r="179" customFormat="false" ht="14.4" hidden="false" customHeight="false" outlineLevel="0" collapsed="false">
      <c r="B179" s="7"/>
      <c r="C179" s="7"/>
      <c r="D179" s="7"/>
      <c r="E179" s="7"/>
      <c r="F179" s="7"/>
      <c r="G179" s="7"/>
      <c r="H179" s="7"/>
      <c r="I179" s="7"/>
    </row>
    <row r="180" customFormat="false" ht="14.4" hidden="false" customHeight="false" outlineLevel="0" collapsed="false">
      <c r="B180" s="7"/>
      <c r="C180" s="7"/>
      <c r="D180" s="7"/>
      <c r="E180" s="7"/>
      <c r="F180" s="7"/>
      <c r="G180" s="7"/>
      <c r="H180" s="7"/>
      <c r="I180" s="7"/>
    </row>
    <row r="181" customFormat="false" ht="14.4" hidden="false" customHeight="false" outlineLevel="0" collapsed="false">
      <c r="B181" s="7"/>
      <c r="C181" s="7"/>
      <c r="D181" s="7"/>
      <c r="E181" s="7"/>
      <c r="F181" s="7"/>
      <c r="G181" s="7"/>
      <c r="H181" s="7"/>
      <c r="I181" s="7"/>
    </row>
    <row r="182" customFormat="false" ht="14.4" hidden="false" customHeight="false" outlineLevel="0" collapsed="false">
      <c r="B182" s="7"/>
      <c r="C182" s="7"/>
      <c r="D182" s="7"/>
      <c r="E182" s="7"/>
      <c r="F182" s="7"/>
      <c r="G182" s="7"/>
      <c r="H182" s="7"/>
      <c r="I182" s="7"/>
    </row>
    <row r="183" customFormat="false" ht="14.4" hidden="false" customHeight="false" outlineLevel="0" collapsed="false">
      <c r="B183" s="7"/>
      <c r="C183" s="7"/>
      <c r="D183" s="7"/>
      <c r="E183" s="7"/>
      <c r="F183" s="7"/>
      <c r="G183" s="7"/>
      <c r="H183" s="7"/>
      <c r="I183" s="7"/>
    </row>
    <row r="184" customFormat="false" ht="14.4" hidden="false" customHeight="false" outlineLevel="0" collapsed="false">
      <c r="B184" s="7"/>
      <c r="C184" s="7"/>
      <c r="D184" s="7"/>
      <c r="E184" s="7"/>
      <c r="F184" s="7"/>
      <c r="G184" s="7"/>
      <c r="H184" s="7"/>
      <c r="I184" s="7"/>
    </row>
    <row r="185" customFormat="false" ht="14.4" hidden="false" customHeight="false" outlineLevel="0" collapsed="false">
      <c r="B185" s="7"/>
      <c r="C185" s="7"/>
      <c r="D185" s="7"/>
      <c r="E185" s="7"/>
      <c r="F185" s="7"/>
      <c r="G185" s="7"/>
      <c r="H185" s="7"/>
      <c r="I185" s="7"/>
    </row>
    <row r="186" customFormat="false" ht="14.4" hidden="false" customHeight="false" outlineLevel="0" collapsed="false">
      <c r="B186" s="7"/>
      <c r="C186" s="7"/>
      <c r="D186" s="7"/>
      <c r="E186" s="7"/>
      <c r="F186" s="7"/>
      <c r="G186" s="7"/>
      <c r="H186" s="7"/>
      <c r="I186" s="7"/>
    </row>
    <row r="187" customFormat="false" ht="14.4" hidden="false" customHeight="false" outlineLevel="0" collapsed="false">
      <c r="B187" s="7"/>
      <c r="C187" s="7"/>
      <c r="D187" s="7"/>
      <c r="E187" s="7"/>
      <c r="F187" s="7"/>
      <c r="G187" s="7"/>
      <c r="H187" s="7"/>
      <c r="I187" s="7"/>
    </row>
    <row r="188" customFormat="false" ht="14.4" hidden="false" customHeight="false" outlineLevel="0" collapsed="false">
      <c r="B188" s="7"/>
      <c r="C188" s="7"/>
      <c r="D188" s="7"/>
      <c r="E188" s="7"/>
      <c r="F188" s="7"/>
      <c r="G188" s="7"/>
      <c r="H188" s="7"/>
      <c r="I188" s="7"/>
    </row>
    <row r="189" customFormat="false" ht="14.4" hidden="false" customHeight="false" outlineLevel="0" collapsed="false">
      <c r="B189" s="7"/>
      <c r="C189" s="7"/>
      <c r="D189" s="7"/>
      <c r="E189" s="7"/>
      <c r="F189" s="7"/>
      <c r="G189" s="7"/>
      <c r="H189" s="7"/>
      <c r="I189" s="7"/>
    </row>
    <row r="190" customFormat="false" ht="14.4" hidden="false" customHeight="false" outlineLevel="0" collapsed="false">
      <c r="B190" s="7"/>
      <c r="C190" s="7"/>
      <c r="D190" s="7"/>
      <c r="E190" s="7"/>
      <c r="F190" s="7"/>
      <c r="G190" s="7"/>
      <c r="H190" s="7"/>
      <c r="I190" s="7"/>
    </row>
    <row r="191" customFormat="false" ht="14.4" hidden="false" customHeight="false" outlineLevel="0" collapsed="false">
      <c r="B191" s="7"/>
      <c r="C191" s="7"/>
      <c r="D191" s="7"/>
      <c r="E191" s="7"/>
      <c r="F191" s="7"/>
      <c r="G191" s="7"/>
      <c r="H191" s="7"/>
      <c r="I191" s="7"/>
    </row>
    <row r="192" customFormat="false" ht="14.4" hidden="false" customHeight="false" outlineLevel="0" collapsed="false">
      <c r="B192" s="7"/>
      <c r="C192" s="7"/>
      <c r="D192" s="7"/>
      <c r="E192" s="7"/>
      <c r="F192" s="7"/>
      <c r="G192" s="7"/>
      <c r="H192" s="7"/>
      <c r="I192" s="7"/>
    </row>
    <row r="193" customFormat="false" ht="14.4" hidden="false" customHeight="false" outlineLevel="0" collapsed="false">
      <c r="B193" s="7"/>
      <c r="C193" s="7"/>
      <c r="D193" s="7"/>
      <c r="E193" s="7"/>
      <c r="F193" s="7"/>
      <c r="G193" s="7"/>
      <c r="H193" s="7"/>
      <c r="I193" s="7"/>
    </row>
    <row r="194" customFormat="false" ht="14.4" hidden="false" customHeight="false" outlineLevel="0" collapsed="false">
      <c r="B194" s="7"/>
      <c r="C194" s="7"/>
      <c r="D194" s="7"/>
      <c r="E194" s="7"/>
      <c r="F194" s="7"/>
      <c r="G194" s="7"/>
      <c r="H194" s="7"/>
      <c r="I194" s="7"/>
    </row>
    <row r="195" customFormat="false" ht="14.4" hidden="false" customHeight="false" outlineLevel="0" collapsed="false">
      <c r="B195" s="7"/>
      <c r="C195" s="7"/>
      <c r="D195" s="7"/>
      <c r="E195" s="7"/>
      <c r="F195" s="7"/>
      <c r="G195" s="7"/>
      <c r="H195" s="7"/>
      <c r="I195" s="7"/>
    </row>
    <row r="196" customFormat="false" ht="14.4" hidden="false" customHeight="false" outlineLevel="0" collapsed="false">
      <c r="B196" s="7"/>
      <c r="C196" s="7"/>
      <c r="D196" s="7"/>
      <c r="E196" s="7"/>
      <c r="F196" s="7"/>
      <c r="G196" s="7"/>
      <c r="H196" s="7"/>
      <c r="I196" s="7"/>
    </row>
    <row r="197" customFormat="false" ht="14.4" hidden="false" customHeight="false" outlineLevel="0" collapsed="false">
      <c r="B197" s="7"/>
      <c r="C197" s="7"/>
      <c r="D197" s="7"/>
      <c r="E197" s="7"/>
      <c r="F197" s="7"/>
      <c r="G197" s="7"/>
      <c r="H197" s="7"/>
      <c r="I197" s="7"/>
    </row>
    <row r="198" customFormat="false" ht="14.4" hidden="false" customHeight="false" outlineLevel="0" collapsed="false">
      <c r="B198" s="7"/>
      <c r="C198" s="7"/>
      <c r="D198" s="7"/>
      <c r="E198" s="7"/>
      <c r="F198" s="7"/>
      <c r="G198" s="7"/>
      <c r="H198" s="7"/>
      <c r="I198" s="7"/>
    </row>
    <row r="199" customFormat="false" ht="14.4" hidden="false" customHeight="false" outlineLevel="0" collapsed="false">
      <c r="B199" s="7"/>
      <c r="C199" s="7"/>
      <c r="D199" s="7"/>
      <c r="E199" s="7"/>
      <c r="F199" s="7"/>
      <c r="G199" s="7"/>
      <c r="H199" s="7"/>
      <c r="I199" s="7"/>
    </row>
    <row r="200" customFormat="false" ht="14.4" hidden="false" customHeight="false" outlineLevel="0" collapsed="false">
      <c r="B200" s="7"/>
      <c r="C200" s="7"/>
      <c r="D200" s="7"/>
      <c r="E200" s="7"/>
      <c r="F200" s="7"/>
      <c r="G200" s="7"/>
      <c r="H200" s="7"/>
      <c r="I200" s="7"/>
    </row>
    <row r="201" customFormat="false" ht="14.4" hidden="false" customHeight="false" outlineLevel="0" collapsed="false">
      <c r="B201" s="7"/>
      <c r="C201" s="7"/>
      <c r="D201" s="7"/>
      <c r="E201" s="7"/>
      <c r="F201" s="7"/>
      <c r="G201" s="7"/>
      <c r="H201" s="7"/>
      <c r="I201" s="7"/>
    </row>
    <row r="202" customFormat="false" ht="14.4" hidden="false" customHeight="false" outlineLevel="0" collapsed="false">
      <c r="B202" s="7"/>
      <c r="C202" s="7"/>
      <c r="D202" s="7"/>
      <c r="E202" s="7"/>
      <c r="F202" s="7"/>
      <c r="G202" s="7"/>
      <c r="H202" s="7"/>
      <c r="I202" s="7"/>
    </row>
    <row r="203" customFormat="false" ht="14.4" hidden="false" customHeight="false" outlineLevel="0" collapsed="false">
      <c r="B203" s="7"/>
      <c r="C203" s="7"/>
      <c r="D203" s="7"/>
      <c r="E203" s="7"/>
      <c r="F203" s="7"/>
      <c r="G203" s="7"/>
      <c r="H203" s="7"/>
      <c r="I203" s="7"/>
    </row>
    <row r="204" customFormat="false" ht="14.4" hidden="false" customHeight="false" outlineLevel="0" collapsed="false">
      <c r="B204" s="7"/>
      <c r="C204" s="7"/>
      <c r="D204" s="7"/>
      <c r="E204" s="7"/>
      <c r="F204" s="7"/>
      <c r="G204" s="7"/>
      <c r="H204" s="7"/>
      <c r="I204" s="7"/>
    </row>
    <row r="205" customFormat="false" ht="14.4" hidden="false" customHeight="false" outlineLevel="0" collapsed="false">
      <c r="B205" s="7"/>
      <c r="C205" s="7"/>
      <c r="D205" s="7"/>
      <c r="E205" s="7"/>
      <c r="F205" s="7"/>
      <c r="G205" s="7"/>
      <c r="H205" s="7"/>
      <c r="I205" s="7"/>
    </row>
    <row r="206" customFormat="false" ht="14.4" hidden="false" customHeight="false" outlineLevel="0" collapsed="false">
      <c r="B206" s="7"/>
      <c r="C206" s="7"/>
      <c r="D206" s="7"/>
      <c r="E206" s="7"/>
      <c r="F206" s="7"/>
      <c r="G206" s="7"/>
      <c r="H206" s="7"/>
      <c r="I206" s="7"/>
    </row>
    <row r="207" customFormat="false" ht="14.4" hidden="false" customHeight="false" outlineLevel="0" collapsed="false">
      <c r="B207" s="7"/>
      <c r="C207" s="7"/>
      <c r="D207" s="7"/>
      <c r="E207" s="7"/>
      <c r="F207" s="7"/>
      <c r="G207" s="7"/>
      <c r="H207" s="7"/>
      <c r="I207" s="7"/>
    </row>
    <row r="208" customFormat="false" ht="14.4" hidden="false" customHeight="false" outlineLevel="0" collapsed="false">
      <c r="B208" s="7"/>
      <c r="C208" s="7"/>
      <c r="D208" s="7"/>
      <c r="E208" s="7"/>
      <c r="F208" s="7"/>
      <c r="G208" s="7"/>
      <c r="H208" s="7"/>
      <c r="I208" s="7"/>
    </row>
    <row r="209" customFormat="false" ht="14.4" hidden="false" customHeight="false" outlineLevel="0" collapsed="false">
      <c r="B209" s="7"/>
      <c r="C209" s="7"/>
      <c r="D209" s="7"/>
      <c r="E209" s="7"/>
      <c r="F209" s="7"/>
      <c r="G209" s="7"/>
      <c r="H209" s="7"/>
      <c r="I209" s="7"/>
    </row>
    <row r="210" customFormat="false" ht="14.4" hidden="false" customHeight="false" outlineLevel="0" collapsed="false">
      <c r="B210" s="7"/>
      <c r="C210" s="7"/>
      <c r="D210" s="7"/>
      <c r="E210" s="7"/>
      <c r="F210" s="7"/>
      <c r="G210" s="7"/>
      <c r="H210" s="7"/>
      <c r="I210" s="7"/>
    </row>
    <row r="211" customFormat="false" ht="14.4" hidden="false" customHeight="false" outlineLevel="0" collapsed="false">
      <c r="B211" s="7"/>
      <c r="C211" s="7"/>
      <c r="D211" s="7"/>
      <c r="E211" s="7"/>
      <c r="F211" s="7"/>
      <c r="G211" s="7"/>
      <c r="H211" s="7"/>
      <c r="I211" s="7"/>
    </row>
    <row r="212" customFormat="false" ht="14.4" hidden="false" customHeight="false" outlineLevel="0" collapsed="false">
      <c r="B212" s="7"/>
      <c r="C212" s="7"/>
      <c r="D212" s="7"/>
      <c r="E212" s="7"/>
      <c r="F212" s="7"/>
      <c r="G212" s="7"/>
      <c r="H212" s="7"/>
      <c r="I212" s="7"/>
    </row>
    <row r="213" customFormat="false" ht="14.4" hidden="false" customHeight="false" outlineLevel="0" collapsed="false">
      <c r="B213" s="7"/>
      <c r="C213" s="7"/>
      <c r="D213" s="7"/>
      <c r="E213" s="7"/>
      <c r="F213" s="7"/>
      <c r="G213" s="7"/>
      <c r="H213" s="7"/>
      <c r="I213" s="7"/>
    </row>
    <row r="214" customFormat="false" ht="14.4" hidden="false" customHeight="false" outlineLevel="0" collapsed="false">
      <c r="B214" s="7"/>
      <c r="C214" s="7"/>
      <c r="D214" s="7"/>
      <c r="E214" s="7"/>
      <c r="F214" s="7"/>
      <c r="G214" s="7"/>
      <c r="H214" s="7"/>
      <c r="I214" s="7"/>
    </row>
    <row r="215" customFormat="false" ht="14.4" hidden="false" customHeight="false" outlineLevel="0" collapsed="false">
      <c r="B215" s="7"/>
      <c r="C215" s="7"/>
      <c r="D215" s="7"/>
      <c r="E215" s="7"/>
      <c r="F215" s="7"/>
      <c r="G215" s="7"/>
      <c r="H215" s="7"/>
      <c r="I215" s="7"/>
    </row>
    <row r="216" customFormat="false" ht="14.4" hidden="false" customHeight="false" outlineLevel="0" collapsed="false">
      <c r="B216" s="7"/>
      <c r="C216" s="7"/>
      <c r="D216" s="7"/>
      <c r="E216" s="7"/>
      <c r="F216" s="7"/>
      <c r="G216" s="7"/>
      <c r="H216" s="7"/>
      <c r="I216" s="7"/>
    </row>
    <row r="217" customFormat="false" ht="14.4" hidden="false" customHeight="false" outlineLevel="0" collapsed="false">
      <c r="B217" s="7"/>
      <c r="C217" s="7"/>
      <c r="D217" s="7"/>
      <c r="E217" s="7"/>
      <c r="F217" s="7"/>
      <c r="G217" s="7"/>
      <c r="H217" s="7"/>
      <c r="I217" s="7"/>
    </row>
    <row r="218" customFormat="false" ht="14.4" hidden="false" customHeight="false" outlineLevel="0" collapsed="false">
      <c r="B218" s="7"/>
      <c r="C218" s="7"/>
      <c r="D218" s="7"/>
      <c r="E218" s="7"/>
      <c r="F218" s="7"/>
      <c r="G218" s="7"/>
      <c r="H218" s="7"/>
      <c r="I218" s="7"/>
    </row>
    <row r="219" customFormat="false" ht="14.4" hidden="false" customHeight="false" outlineLevel="0" collapsed="false">
      <c r="B219" s="7"/>
      <c r="C219" s="7"/>
      <c r="D219" s="7"/>
      <c r="E219" s="7"/>
      <c r="F219" s="7"/>
      <c r="G219" s="7"/>
      <c r="H219" s="7"/>
      <c r="I219" s="7"/>
    </row>
    <row r="220" customFormat="false" ht="14.4" hidden="false" customHeight="false" outlineLevel="0" collapsed="false">
      <c r="B220" s="7"/>
      <c r="C220" s="7"/>
      <c r="D220" s="7"/>
      <c r="E220" s="7"/>
      <c r="F220" s="7"/>
      <c r="G220" s="7"/>
      <c r="H220" s="7"/>
      <c r="I220" s="7"/>
    </row>
    <row r="221" customFormat="false" ht="14.4" hidden="false" customHeight="false" outlineLevel="0" collapsed="false">
      <c r="B221" s="7"/>
      <c r="C221" s="7"/>
      <c r="D221" s="7"/>
      <c r="E221" s="7"/>
      <c r="F221" s="7"/>
      <c r="G221" s="7"/>
      <c r="H221" s="7"/>
      <c r="I221" s="7"/>
    </row>
    <row r="222" customFormat="false" ht="14.4" hidden="false" customHeight="false" outlineLevel="0" collapsed="false">
      <c r="B222" s="7"/>
      <c r="C222" s="7"/>
      <c r="D222" s="7"/>
      <c r="E222" s="7"/>
      <c r="F222" s="7"/>
      <c r="G222" s="7"/>
      <c r="H222" s="7"/>
      <c r="I222" s="7"/>
    </row>
    <row r="223" customFormat="false" ht="14.4" hidden="false" customHeight="false" outlineLevel="0" collapsed="false">
      <c r="B223" s="7"/>
      <c r="C223" s="7"/>
      <c r="D223" s="7"/>
      <c r="E223" s="7"/>
      <c r="F223" s="7"/>
      <c r="G223" s="7"/>
      <c r="H223" s="7"/>
      <c r="I223" s="7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E72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2" activeCellId="0" sqref="B2"/>
    </sheetView>
  </sheetViews>
  <sheetFormatPr defaultColWidth="8.9921875" defaultRowHeight="13.8" zeroHeight="false" outlineLevelRow="0" outlineLevelCol="0"/>
  <cols>
    <col collapsed="false" customWidth="true" hidden="false" outlineLevel="0" max="1" min="1" style="7" width="7.11"/>
    <col collapsed="false" customWidth="false" hidden="false" outlineLevel="0" max="2" min="2" style="7" width="9"/>
    <col collapsed="false" customWidth="true" hidden="false" outlineLevel="0" max="3" min="3" style="7" width="17.8"/>
    <col collapsed="false" customWidth="true" hidden="false" outlineLevel="0" max="4" min="4" style="7" width="27.5"/>
    <col collapsed="false" customWidth="true" hidden="false" outlineLevel="0" max="5" min="5" style="7" width="20.7"/>
    <col collapsed="false" customWidth="false" hidden="false" outlineLevel="0" max="10" min="6" style="7" width="9"/>
    <col collapsed="false" customWidth="true" hidden="false" outlineLevel="0" max="11" min="11" style="7" width="12.5"/>
    <col collapsed="false" customWidth="false" hidden="false" outlineLevel="0" max="1024" min="12" style="7" width="9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41</v>
      </c>
    </row>
    <row r="4" customFormat="false" ht="13.8" hidden="false" customHeight="false" outlineLevel="0" collapsed="false">
      <c r="B4" s="12"/>
    </row>
    <row r="5" customFormat="false" ht="13.8" hidden="false" customHeight="false" outlineLevel="0" collapsed="false">
      <c r="B5" s="12"/>
    </row>
    <row r="6" customFormat="false" ht="13.8" hidden="false" customHeight="false" outlineLevel="0" collapsed="false">
      <c r="B6" s="12"/>
    </row>
    <row r="7" customFormat="false" ht="21" hidden="false" customHeight="false" outlineLevel="0" collapsed="false">
      <c r="B7" s="16" t="s">
        <v>13</v>
      </c>
    </row>
    <row r="8" customFormat="false" ht="15.6" hidden="false" customHeight="false" outlineLevel="0" collapsed="false">
      <c r="B8" s="31" t="s">
        <v>42</v>
      </c>
    </row>
    <row r="10" customFormat="false" ht="16.2" hidden="false" customHeight="false" outlineLevel="0" collapsed="false">
      <c r="C10" s="6" t="s">
        <v>43</v>
      </c>
    </row>
    <row r="11" customFormat="false" ht="14.4" hidden="false" customHeight="false" outlineLevel="0" collapsed="false">
      <c r="C11" s="32" t="s">
        <v>16</v>
      </c>
      <c r="D11" s="33" t="s">
        <v>24</v>
      </c>
      <c r="E11" s="34" t="s">
        <v>22</v>
      </c>
    </row>
    <row r="12" customFormat="false" ht="13.8" hidden="false" customHeight="false" outlineLevel="0" collapsed="false">
      <c r="C12" s="35" t="s">
        <v>25</v>
      </c>
      <c r="D12" s="36" t="s">
        <v>27</v>
      </c>
      <c r="E12" s="37" t="n">
        <v>200</v>
      </c>
    </row>
    <row r="13" customFormat="false" ht="13.8" hidden="false" customHeight="false" outlineLevel="0" collapsed="false">
      <c r="C13" s="38" t="s">
        <v>28</v>
      </c>
      <c r="D13" s="39" t="s">
        <v>30</v>
      </c>
      <c r="E13" s="40" t="n">
        <v>150</v>
      </c>
    </row>
    <row r="14" customFormat="false" ht="14.4" hidden="false" customHeight="false" outlineLevel="0" collapsed="false">
      <c r="C14" s="41" t="s">
        <v>32</v>
      </c>
      <c r="D14" s="42" t="s">
        <v>33</v>
      </c>
      <c r="E14" s="43" t="n">
        <v>95</v>
      </c>
    </row>
    <row r="17" customFormat="false" ht="16.2" hidden="false" customHeight="false" outlineLevel="0" collapsed="false">
      <c r="C17" s="6" t="s">
        <v>44</v>
      </c>
    </row>
    <row r="18" customFormat="false" ht="14.4" hidden="false" customHeight="false" outlineLevel="0" collapsed="false">
      <c r="C18" s="32" t="s">
        <v>17</v>
      </c>
      <c r="D18" s="33" t="s">
        <v>45</v>
      </c>
    </row>
    <row r="19" customFormat="false" ht="13.8" hidden="false" customHeight="false" outlineLevel="0" collapsed="false">
      <c r="C19" s="35" t="s">
        <v>31</v>
      </c>
      <c r="D19" s="44" t="s">
        <v>46</v>
      </c>
    </row>
    <row r="20" customFormat="false" ht="13.8" hidden="false" customHeight="false" outlineLevel="0" collapsed="false">
      <c r="C20" s="38" t="s">
        <v>29</v>
      </c>
      <c r="D20" s="45" t="s">
        <v>47</v>
      </c>
    </row>
    <row r="21" customFormat="false" ht="13.8" hidden="false" customHeight="false" outlineLevel="0" collapsed="false">
      <c r="C21" s="38" t="s">
        <v>36</v>
      </c>
      <c r="D21" s="45" t="s">
        <v>48</v>
      </c>
    </row>
    <row r="22" customFormat="false" ht="13.8" hidden="false" customHeight="false" outlineLevel="0" collapsed="false">
      <c r="C22" s="38" t="s">
        <v>40</v>
      </c>
      <c r="D22" s="45" t="s">
        <v>49</v>
      </c>
    </row>
    <row r="23" customFormat="false" ht="13.8" hidden="false" customHeight="false" outlineLevel="0" collapsed="false">
      <c r="C23" s="38" t="s">
        <v>26</v>
      </c>
      <c r="D23" s="45" t="s">
        <v>50</v>
      </c>
    </row>
    <row r="24" customFormat="false" ht="13.8" hidden="false" customHeight="false" outlineLevel="0" collapsed="false">
      <c r="C24" s="38" t="s">
        <v>38</v>
      </c>
      <c r="D24" s="45" t="s">
        <v>51</v>
      </c>
    </row>
    <row r="25" customFormat="false" ht="13.8" hidden="false" customHeight="false" outlineLevel="0" collapsed="false">
      <c r="C25" s="38" t="s">
        <v>34</v>
      </c>
      <c r="D25" s="45" t="s">
        <v>52</v>
      </c>
    </row>
    <row r="26" customFormat="false" ht="13.8" hidden="false" customHeight="false" outlineLevel="0" collapsed="false">
      <c r="C26" s="38" t="s">
        <v>39</v>
      </c>
      <c r="D26" s="45" t="s">
        <v>53</v>
      </c>
    </row>
    <row r="27" customFormat="false" ht="13.8" hidden="false" customHeight="false" outlineLevel="0" collapsed="false">
      <c r="C27" s="38" t="s">
        <v>35</v>
      </c>
      <c r="D27" s="45" t="s">
        <v>54</v>
      </c>
    </row>
    <row r="28" customFormat="false" ht="14.4" hidden="false" customHeight="false" outlineLevel="0" collapsed="false">
      <c r="C28" s="41" t="s">
        <v>37</v>
      </c>
      <c r="D28" s="46" t="s">
        <v>55</v>
      </c>
    </row>
    <row r="29" customFormat="false" ht="13.8" hidden="false" customHeight="false" outlineLevel="0" collapsed="false">
      <c r="C29" s="39"/>
      <c r="D29" s="47"/>
    </row>
    <row r="31" customFormat="false" ht="16.2" hidden="false" customHeight="false" outlineLevel="0" collapsed="false">
      <c r="C31" s="6" t="s">
        <v>56</v>
      </c>
    </row>
    <row r="32" customFormat="false" ht="14.4" hidden="false" customHeight="false" outlineLevel="0" collapsed="false">
      <c r="C32" s="32" t="s">
        <v>15</v>
      </c>
      <c r="D32" s="33" t="s">
        <v>57</v>
      </c>
      <c r="E32" s="48" t="s">
        <v>58</v>
      </c>
    </row>
    <row r="33" customFormat="false" ht="13.8" hidden="false" customHeight="false" outlineLevel="0" collapsed="false">
      <c r="C33" s="49" t="n">
        <v>1</v>
      </c>
      <c r="D33" s="36" t="s">
        <v>59</v>
      </c>
      <c r="E33" s="45" t="s">
        <v>27</v>
      </c>
    </row>
    <row r="34" customFormat="false" ht="13.8" hidden="false" customHeight="false" outlineLevel="0" collapsed="false">
      <c r="C34" s="50" t="n">
        <v>2</v>
      </c>
      <c r="D34" s="39" t="s">
        <v>60</v>
      </c>
      <c r="E34" s="45" t="s">
        <v>30</v>
      </c>
    </row>
    <row r="35" customFormat="false" ht="13.8" hidden="false" customHeight="false" outlineLevel="0" collapsed="false">
      <c r="C35" s="50" t="n">
        <v>3</v>
      </c>
      <c r="D35" s="39" t="s">
        <v>61</v>
      </c>
      <c r="E35" s="45" t="s">
        <v>33</v>
      </c>
    </row>
    <row r="36" customFormat="false" ht="13.8" hidden="false" customHeight="false" outlineLevel="0" collapsed="false">
      <c r="C36" s="50" t="n">
        <v>4</v>
      </c>
      <c r="D36" s="39" t="s">
        <v>62</v>
      </c>
      <c r="E36" s="45" t="s">
        <v>27</v>
      </c>
    </row>
    <row r="37" customFormat="false" ht="13.8" hidden="false" customHeight="false" outlineLevel="0" collapsed="false">
      <c r="C37" s="50" t="n">
        <v>5</v>
      </c>
      <c r="D37" s="39" t="s">
        <v>63</v>
      </c>
      <c r="E37" s="45" t="s">
        <v>30</v>
      </c>
    </row>
    <row r="38" customFormat="false" ht="13.8" hidden="false" customHeight="false" outlineLevel="0" collapsed="false">
      <c r="C38" s="50" t="n">
        <v>6</v>
      </c>
      <c r="D38" s="39" t="s">
        <v>64</v>
      </c>
      <c r="E38" s="45" t="s">
        <v>33</v>
      </c>
    </row>
    <row r="39" customFormat="false" ht="13.8" hidden="false" customHeight="false" outlineLevel="0" collapsed="false">
      <c r="C39" s="50" t="n">
        <v>7</v>
      </c>
      <c r="D39" s="39" t="s">
        <v>65</v>
      </c>
      <c r="E39" s="45" t="s">
        <v>27</v>
      </c>
    </row>
    <row r="40" customFormat="false" ht="13.8" hidden="false" customHeight="false" outlineLevel="0" collapsed="false">
      <c r="C40" s="50" t="n">
        <v>8</v>
      </c>
      <c r="D40" s="39" t="s">
        <v>66</v>
      </c>
      <c r="E40" s="45" t="s">
        <v>30</v>
      </c>
    </row>
    <row r="41" customFormat="false" ht="13.8" hidden="false" customHeight="false" outlineLevel="0" collapsed="false">
      <c r="C41" s="50" t="n">
        <v>9</v>
      </c>
      <c r="D41" s="39" t="s">
        <v>67</v>
      </c>
      <c r="E41" s="45" t="s">
        <v>33</v>
      </c>
    </row>
    <row r="42" customFormat="false" ht="13.8" hidden="false" customHeight="false" outlineLevel="0" collapsed="false">
      <c r="C42" s="50" t="n">
        <v>10</v>
      </c>
      <c r="D42" s="39" t="s">
        <v>68</v>
      </c>
      <c r="E42" s="45" t="s">
        <v>27</v>
      </c>
    </row>
    <row r="43" customFormat="false" ht="13.8" hidden="false" customHeight="false" outlineLevel="0" collapsed="false">
      <c r="C43" s="50" t="n">
        <v>11</v>
      </c>
      <c r="D43" s="39" t="s">
        <v>69</v>
      </c>
      <c r="E43" s="45" t="s">
        <v>30</v>
      </c>
    </row>
    <row r="44" customFormat="false" ht="13.8" hidden="false" customHeight="false" outlineLevel="0" collapsed="false">
      <c r="C44" s="50" t="n">
        <v>12</v>
      </c>
      <c r="D44" s="39" t="s">
        <v>70</v>
      </c>
      <c r="E44" s="45" t="s">
        <v>33</v>
      </c>
    </row>
    <row r="45" customFormat="false" ht="13.8" hidden="false" customHeight="false" outlineLevel="0" collapsed="false">
      <c r="C45" s="50" t="n">
        <v>13</v>
      </c>
      <c r="D45" s="39" t="s">
        <v>71</v>
      </c>
      <c r="E45" s="45" t="s">
        <v>27</v>
      </c>
    </row>
    <row r="46" customFormat="false" ht="13.8" hidden="false" customHeight="false" outlineLevel="0" collapsed="false">
      <c r="C46" s="50" t="n">
        <v>14</v>
      </c>
      <c r="D46" s="39" t="s">
        <v>72</v>
      </c>
      <c r="E46" s="45" t="s">
        <v>30</v>
      </c>
    </row>
    <row r="47" customFormat="false" ht="13.8" hidden="false" customHeight="false" outlineLevel="0" collapsed="false">
      <c r="C47" s="50" t="n">
        <v>15</v>
      </c>
      <c r="D47" s="39" t="s">
        <v>73</v>
      </c>
      <c r="E47" s="45" t="s">
        <v>33</v>
      </c>
    </row>
    <row r="48" customFormat="false" ht="13.8" hidden="false" customHeight="false" outlineLevel="0" collapsed="false">
      <c r="C48" s="50" t="n">
        <v>16</v>
      </c>
      <c r="D48" s="39" t="s">
        <v>74</v>
      </c>
      <c r="E48" s="45" t="s">
        <v>27</v>
      </c>
    </row>
    <row r="49" customFormat="false" ht="13.8" hidden="false" customHeight="false" outlineLevel="0" collapsed="false">
      <c r="C49" s="50" t="n">
        <v>17</v>
      </c>
      <c r="D49" s="39" t="s">
        <v>75</v>
      </c>
      <c r="E49" s="45" t="s">
        <v>30</v>
      </c>
    </row>
    <row r="50" customFormat="false" ht="13.8" hidden="false" customHeight="false" outlineLevel="0" collapsed="false">
      <c r="C50" s="50" t="n">
        <v>18</v>
      </c>
      <c r="D50" s="39" t="s">
        <v>76</v>
      </c>
      <c r="E50" s="45" t="s">
        <v>33</v>
      </c>
    </row>
    <row r="51" customFormat="false" ht="13.8" hidden="false" customHeight="false" outlineLevel="0" collapsed="false">
      <c r="C51" s="50" t="n">
        <v>19</v>
      </c>
      <c r="D51" s="39" t="s">
        <v>77</v>
      </c>
      <c r="E51" s="45" t="s">
        <v>27</v>
      </c>
    </row>
    <row r="52" customFormat="false" ht="13.8" hidden="false" customHeight="false" outlineLevel="0" collapsed="false">
      <c r="C52" s="50" t="n">
        <v>20</v>
      </c>
      <c r="D52" s="39" t="s">
        <v>78</v>
      </c>
      <c r="E52" s="45" t="s">
        <v>30</v>
      </c>
    </row>
    <row r="53" customFormat="false" ht="13.8" hidden="false" customHeight="false" outlineLevel="0" collapsed="false">
      <c r="C53" s="50" t="n">
        <v>21</v>
      </c>
      <c r="D53" s="39" t="s">
        <v>79</v>
      </c>
      <c r="E53" s="45" t="s">
        <v>33</v>
      </c>
    </row>
    <row r="54" customFormat="false" ht="13.8" hidden="false" customHeight="false" outlineLevel="0" collapsed="false">
      <c r="C54" s="50" t="n">
        <v>22</v>
      </c>
      <c r="D54" s="39" t="s">
        <v>80</v>
      </c>
      <c r="E54" s="45" t="s">
        <v>27</v>
      </c>
    </row>
    <row r="55" customFormat="false" ht="13.8" hidden="false" customHeight="false" outlineLevel="0" collapsed="false">
      <c r="C55" s="50" t="n">
        <v>23</v>
      </c>
      <c r="D55" s="39" t="s">
        <v>81</v>
      </c>
      <c r="E55" s="45" t="s">
        <v>30</v>
      </c>
    </row>
    <row r="56" customFormat="false" ht="13.8" hidden="false" customHeight="false" outlineLevel="0" collapsed="false">
      <c r="C56" s="50" t="n">
        <v>24</v>
      </c>
      <c r="D56" s="39" t="s">
        <v>82</v>
      </c>
      <c r="E56" s="45" t="s">
        <v>33</v>
      </c>
    </row>
    <row r="57" customFormat="false" ht="13.8" hidden="false" customHeight="false" outlineLevel="0" collapsed="false">
      <c r="C57" s="50" t="n">
        <v>25</v>
      </c>
      <c r="D57" s="39" t="s">
        <v>83</v>
      </c>
      <c r="E57" s="45" t="s">
        <v>27</v>
      </c>
    </row>
    <row r="58" customFormat="false" ht="13.8" hidden="false" customHeight="false" outlineLevel="0" collapsed="false">
      <c r="C58" s="50" t="n">
        <v>26</v>
      </c>
      <c r="D58" s="39" t="s">
        <v>84</v>
      </c>
      <c r="E58" s="45" t="s">
        <v>30</v>
      </c>
    </row>
    <row r="59" customFormat="false" ht="13.8" hidden="false" customHeight="false" outlineLevel="0" collapsed="false">
      <c r="C59" s="50" t="n">
        <v>27</v>
      </c>
      <c r="D59" s="39" t="s">
        <v>85</v>
      </c>
      <c r="E59" s="45" t="s">
        <v>33</v>
      </c>
    </row>
    <row r="60" customFormat="false" ht="13.8" hidden="false" customHeight="false" outlineLevel="0" collapsed="false">
      <c r="C60" s="50" t="n">
        <v>28</v>
      </c>
      <c r="D60" s="39" t="s">
        <v>86</v>
      </c>
      <c r="E60" s="45" t="s">
        <v>27</v>
      </c>
    </row>
    <row r="61" customFormat="false" ht="13.8" hidden="false" customHeight="false" outlineLevel="0" collapsed="false">
      <c r="C61" s="50" t="n">
        <v>29</v>
      </c>
      <c r="D61" s="39" t="s">
        <v>87</v>
      </c>
      <c r="E61" s="45" t="s">
        <v>30</v>
      </c>
    </row>
    <row r="62" customFormat="false" ht="13.8" hidden="false" customHeight="false" outlineLevel="0" collapsed="false">
      <c r="C62" s="50" t="n">
        <v>30</v>
      </c>
      <c r="D62" s="39" t="s">
        <v>88</v>
      </c>
      <c r="E62" s="45" t="s">
        <v>33</v>
      </c>
    </row>
    <row r="63" customFormat="false" ht="13.8" hidden="false" customHeight="false" outlineLevel="0" collapsed="false">
      <c r="C63" s="50" t="n">
        <v>31</v>
      </c>
      <c r="D63" s="39" t="s">
        <v>89</v>
      </c>
      <c r="E63" s="45" t="s">
        <v>27</v>
      </c>
    </row>
    <row r="64" customFormat="false" ht="13.8" hidden="false" customHeight="false" outlineLevel="0" collapsed="false">
      <c r="C64" s="50" t="n">
        <v>32</v>
      </c>
      <c r="D64" s="39" t="s">
        <v>90</v>
      </c>
      <c r="E64" s="45" t="s">
        <v>30</v>
      </c>
    </row>
    <row r="65" customFormat="false" ht="13.8" hidden="false" customHeight="false" outlineLevel="0" collapsed="false">
      <c r="C65" s="50" t="n">
        <v>33</v>
      </c>
      <c r="D65" s="39" t="s">
        <v>91</v>
      </c>
      <c r="E65" s="45" t="s">
        <v>33</v>
      </c>
    </row>
    <row r="66" customFormat="false" ht="13.8" hidden="false" customHeight="false" outlineLevel="0" collapsed="false">
      <c r="C66" s="50" t="n">
        <v>34</v>
      </c>
      <c r="D66" s="39" t="s">
        <v>92</v>
      </c>
      <c r="E66" s="45" t="s">
        <v>27</v>
      </c>
    </row>
    <row r="67" customFormat="false" ht="13.8" hidden="false" customHeight="false" outlineLevel="0" collapsed="false">
      <c r="C67" s="50" t="n">
        <v>35</v>
      </c>
      <c r="D67" s="39" t="s">
        <v>93</v>
      </c>
      <c r="E67" s="45" t="s">
        <v>30</v>
      </c>
    </row>
    <row r="68" customFormat="false" ht="13.8" hidden="false" customHeight="false" outlineLevel="0" collapsed="false">
      <c r="C68" s="50" t="n">
        <v>36</v>
      </c>
      <c r="D68" s="39" t="s">
        <v>94</v>
      </c>
      <c r="E68" s="45" t="s">
        <v>33</v>
      </c>
    </row>
    <row r="69" customFormat="false" ht="13.8" hidden="false" customHeight="false" outlineLevel="0" collapsed="false">
      <c r="C69" s="50" t="n">
        <v>37</v>
      </c>
      <c r="D69" s="39" t="s">
        <v>95</v>
      </c>
      <c r="E69" s="45" t="s">
        <v>27</v>
      </c>
    </row>
    <row r="70" customFormat="false" ht="13.8" hidden="false" customHeight="false" outlineLevel="0" collapsed="false">
      <c r="C70" s="50" t="n">
        <v>38</v>
      </c>
      <c r="D70" s="39" t="s">
        <v>96</v>
      </c>
      <c r="E70" s="45" t="s">
        <v>30</v>
      </c>
    </row>
    <row r="71" customFormat="false" ht="13.8" hidden="false" customHeight="false" outlineLevel="0" collapsed="false">
      <c r="C71" s="50" t="n">
        <v>39</v>
      </c>
      <c r="D71" s="39" t="s">
        <v>97</v>
      </c>
      <c r="E71" s="45" t="s">
        <v>33</v>
      </c>
    </row>
    <row r="72" customFormat="false" ht="14.4" hidden="false" customHeight="false" outlineLevel="0" collapsed="false">
      <c r="C72" s="51" t="n">
        <v>40</v>
      </c>
      <c r="D72" s="42" t="s">
        <v>98</v>
      </c>
      <c r="E72" s="46" t="s">
        <v>27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G133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2" activeCellId="0" sqref="B2"/>
    </sheetView>
  </sheetViews>
  <sheetFormatPr defaultColWidth="8.9921875" defaultRowHeight="13.8" zeroHeight="false" outlineLevelRow="0" outlineLevelCol="0"/>
  <cols>
    <col collapsed="false" customWidth="true" hidden="false" outlineLevel="0" max="1" min="1" style="7" width="7.5"/>
    <col collapsed="false" customWidth="true" hidden="false" outlineLevel="0" max="2" min="2" style="7" width="22.2"/>
    <col collapsed="false" customWidth="true" hidden="false" outlineLevel="0" max="3" min="3" style="7" width="13.7"/>
    <col collapsed="false" customWidth="true" hidden="false" outlineLevel="0" max="4" min="4" style="7" width="22.2"/>
    <col collapsed="false" customWidth="true" hidden="false" outlineLevel="0" max="5" min="5" style="7" width="10.5"/>
    <col collapsed="false" customWidth="true" hidden="false" outlineLevel="0" max="6" min="6" style="7" width="12.32"/>
    <col collapsed="false" customWidth="true" hidden="false" outlineLevel="0" max="7" min="7" style="7" width="12.5"/>
    <col collapsed="false" customWidth="false" hidden="false" outlineLevel="0" max="8" min="8" style="7" width="9"/>
    <col collapsed="false" customWidth="true" hidden="false" outlineLevel="0" max="9" min="9" style="7" width="19.59"/>
    <col collapsed="false" customWidth="true" hidden="false" outlineLevel="0" max="10" min="10" style="7" width="13.2"/>
    <col collapsed="false" customWidth="false" hidden="false" outlineLevel="0" max="11" min="11" style="7" width="9"/>
    <col collapsed="false" customWidth="true" hidden="false" outlineLevel="0" max="12" min="12" style="7" width="22.2"/>
    <col collapsed="false" customWidth="false" hidden="false" outlineLevel="0" max="1024" min="13" style="7" width="9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99</v>
      </c>
    </row>
    <row r="5" customFormat="false" ht="14.4" hidden="false" customHeight="false" outlineLevel="0" collapsed="false"/>
    <row r="6" customFormat="false" ht="97.5" hidden="false" customHeight="true" outlineLevel="0" collapsed="false">
      <c r="B6" s="52" t="s">
        <v>13</v>
      </c>
      <c r="C6" s="52"/>
      <c r="D6" s="52"/>
      <c r="E6" s="52"/>
      <c r="F6" s="52"/>
      <c r="G6" s="52"/>
    </row>
    <row r="7" customFormat="false" ht="13.8" hidden="false" customHeight="false" outlineLevel="0" collapsed="false">
      <c r="B7" s="53" t="n">
        <f aca="true">NOW()</f>
        <v>44326.220879405</v>
      </c>
      <c r="C7" s="53"/>
      <c r="D7" s="53"/>
      <c r="E7" s="53"/>
      <c r="F7" s="53"/>
      <c r="G7" s="53"/>
    </row>
    <row r="8" customFormat="false" ht="14.4" hidden="false" customHeight="false" outlineLevel="0" collapsed="false">
      <c r="B8" s="54"/>
      <c r="C8" s="42"/>
      <c r="D8" s="42"/>
      <c r="E8" s="42"/>
      <c r="F8" s="42"/>
      <c r="G8" s="46"/>
    </row>
    <row r="9" customFormat="false" ht="36.75" hidden="false" customHeight="true" outlineLevel="0" collapsed="false">
      <c r="B9" s="55" t="s">
        <v>100</v>
      </c>
      <c r="C9" s="56" t="s">
        <v>15</v>
      </c>
      <c r="D9" s="56" t="s">
        <v>45</v>
      </c>
      <c r="E9" s="56" t="s">
        <v>17</v>
      </c>
      <c r="F9" s="57" t="s">
        <v>18</v>
      </c>
      <c r="G9" s="58" t="s">
        <v>23</v>
      </c>
    </row>
    <row r="10" customFormat="false" ht="13.8" hidden="false" customHeight="false" outlineLevel="0" collapsed="false">
      <c r="B10" s="59"/>
      <c r="C10" s="59"/>
      <c r="D10" s="59"/>
      <c r="E10" s="59"/>
      <c r="F10" s="59"/>
      <c r="G10" s="59"/>
    </row>
    <row r="11" customFormat="false" ht="13.8" hidden="false" customHeight="false" outlineLevel="0" collapsed="false">
      <c r="B11" s="59"/>
      <c r="C11" s="59"/>
      <c r="D11" s="59"/>
      <c r="E11" s="59"/>
      <c r="F11" s="59"/>
      <c r="G11" s="59"/>
    </row>
    <row r="12" customFormat="false" ht="13.8" hidden="false" customHeight="false" outlineLevel="0" collapsed="false">
      <c r="B12" s="59"/>
      <c r="C12" s="59"/>
      <c r="D12" s="59"/>
      <c r="E12" s="59"/>
      <c r="F12" s="59"/>
      <c r="G12" s="59"/>
    </row>
    <row r="13" customFormat="false" ht="13.8" hidden="false" customHeight="false" outlineLevel="0" collapsed="false">
      <c r="B13" s="59"/>
      <c r="C13" s="59"/>
      <c r="D13" s="59"/>
      <c r="E13" s="59"/>
      <c r="F13" s="59"/>
      <c r="G13" s="59"/>
    </row>
    <row r="14" customFormat="false" ht="13.8" hidden="false" customHeight="false" outlineLevel="0" collapsed="false">
      <c r="B14" s="59"/>
      <c r="C14" s="59"/>
      <c r="D14" s="59"/>
      <c r="E14" s="59"/>
      <c r="F14" s="59"/>
      <c r="G14" s="59"/>
    </row>
    <row r="15" customFormat="false" ht="13.8" hidden="false" customHeight="false" outlineLevel="0" collapsed="false">
      <c r="B15" s="59"/>
      <c r="C15" s="59"/>
      <c r="D15" s="59"/>
      <c r="E15" s="59"/>
      <c r="F15" s="59"/>
      <c r="G15" s="59"/>
    </row>
    <row r="16" customFormat="false" ht="13.8" hidden="false" customHeight="false" outlineLevel="0" collapsed="false">
      <c r="B16" s="59"/>
      <c r="C16" s="59"/>
      <c r="D16" s="59"/>
      <c r="E16" s="59"/>
      <c r="F16" s="59"/>
      <c r="G16" s="59"/>
    </row>
    <row r="17" customFormat="false" ht="13.8" hidden="false" customHeight="false" outlineLevel="0" collapsed="false">
      <c r="B17" s="59"/>
      <c r="C17" s="59"/>
      <c r="D17" s="59"/>
      <c r="E17" s="59"/>
      <c r="F17" s="59"/>
      <c r="G17" s="59"/>
    </row>
    <row r="18" customFormat="false" ht="13.8" hidden="false" customHeight="false" outlineLevel="0" collapsed="false">
      <c r="B18" s="59"/>
      <c r="C18" s="59"/>
      <c r="D18" s="59"/>
      <c r="E18" s="59"/>
      <c r="F18" s="59"/>
      <c r="G18" s="59"/>
    </row>
    <row r="19" customFormat="false" ht="13.8" hidden="false" customHeight="false" outlineLevel="0" collapsed="false">
      <c r="B19" s="59"/>
      <c r="C19" s="59"/>
      <c r="D19" s="59"/>
      <c r="E19" s="59"/>
      <c r="F19" s="59"/>
      <c r="G19" s="59"/>
    </row>
    <row r="20" customFormat="false" ht="13.8" hidden="false" customHeight="false" outlineLevel="0" collapsed="false">
      <c r="B20" s="59"/>
      <c r="C20" s="59"/>
      <c r="D20" s="59"/>
      <c r="E20" s="59"/>
      <c r="F20" s="59"/>
      <c r="G20" s="59"/>
    </row>
    <row r="21" customFormat="false" ht="13.8" hidden="false" customHeight="false" outlineLevel="0" collapsed="false">
      <c r="B21" s="59"/>
      <c r="C21" s="59"/>
      <c r="D21" s="59"/>
      <c r="E21" s="59"/>
      <c r="F21" s="59"/>
      <c r="G21" s="59"/>
    </row>
    <row r="22" customFormat="false" ht="13.8" hidden="false" customHeight="false" outlineLevel="0" collapsed="false">
      <c r="B22" s="59"/>
      <c r="C22" s="59"/>
      <c r="D22" s="59"/>
      <c r="E22" s="59"/>
      <c r="F22" s="59"/>
      <c r="G22" s="59"/>
    </row>
    <row r="23" customFormat="false" ht="13.8" hidden="false" customHeight="false" outlineLevel="0" collapsed="false">
      <c r="B23" s="59"/>
      <c r="C23" s="59"/>
      <c r="D23" s="59"/>
      <c r="E23" s="59"/>
      <c r="F23" s="59"/>
      <c r="G23" s="59"/>
    </row>
    <row r="24" customFormat="false" ht="13.8" hidden="false" customHeight="false" outlineLevel="0" collapsed="false">
      <c r="B24" s="59"/>
      <c r="C24" s="59"/>
      <c r="D24" s="59"/>
      <c r="E24" s="59"/>
      <c r="F24" s="59"/>
      <c r="G24" s="59"/>
    </row>
    <row r="25" customFormat="false" ht="13.8" hidden="false" customHeight="false" outlineLevel="0" collapsed="false">
      <c r="B25" s="59"/>
      <c r="C25" s="59"/>
      <c r="D25" s="59"/>
      <c r="E25" s="59"/>
      <c r="F25" s="59"/>
      <c r="G25" s="59"/>
    </row>
    <row r="26" customFormat="false" ht="13.8" hidden="false" customHeight="false" outlineLevel="0" collapsed="false">
      <c r="B26" s="59"/>
      <c r="C26" s="59"/>
      <c r="D26" s="59"/>
      <c r="E26" s="59"/>
      <c r="F26" s="59"/>
      <c r="G26" s="59"/>
    </row>
    <row r="27" customFormat="false" ht="13.8" hidden="false" customHeight="false" outlineLevel="0" collapsed="false">
      <c r="B27" s="59"/>
      <c r="C27" s="59"/>
      <c r="D27" s="59"/>
      <c r="E27" s="59"/>
      <c r="F27" s="59"/>
      <c r="G27" s="59"/>
    </row>
    <row r="28" customFormat="false" ht="13.8" hidden="false" customHeight="false" outlineLevel="0" collapsed="false">
      <c r="B28" s="59"/>
      <c r="C28" s="59"/>
      <c r="D28" s="59"/>
      <c r="E28" s="59"/>
      <c r="F28" s="59"/>
      <c r="G28" s="59"/>
    </row>
    <row r="29" customFormat="false" ht="13.8" hidden="false" customHeight="false" outlineLevel="0" collapsed="false">
      <c r="B29" s="59"/>
      <c r="C29" s="59"/>
      <c r="D29" s="59"/>
      <c r="E29" s="59"/>
      <c r="F29" s="59"/>
      <c r="G29" s="59"/>
    </row>
    <row r="30" customFormat="false" ht="13.8" hidden="false" customHeight="false" outlineLevel="0" collapsed="false">
      <c r="B30" s="59"/>
      <c r="C30" s="59"/>
      <c r="D30" s="59"/>
      <c r="E30" s="59"/>
      <c r="F30" s="59"/>
      <c r="G30" s="59"/>
    </row>
    <row r="31" customFormat="false" ht="13.8" hidden="false" customHeight="false" outlineLevel="0" collapsed="false">
      <c r="B31" s="59"/>
      <c r="C31" s="59"/>
      <c r="D31" s="59"/>
      <c r="E31" s="59"/>
      <c r="F31" s="59"/>
      <c r="G31" s="59"/>
    </row>
    <row r="32" customFormat="false" ht="13.8" hidden="false" customHeight="false" outlineLevel="0" collapsed="false">
      <c r="B32" s="59"/>
      <c r="C32" s="59"/>
      <c r="D32" s="59"/>
      <c r="E32" s="59"/>
      <c r="F32" s="59"/>
      <c r="G32" s="59"/>
    </row>
    <row r="33" customFormat="false" ht="13.8" hidden="false" customHeight="false" outlineLevel="0" collapsed="false">
      <c r="B33" s="59"/>
      <c r="C33" s="59"/>
      <c r="D33" s="59"/>
      <c r="E33" s="59"/>
      <c r="F33" s="59"/>
      <c r="G33" s="59"/>
    </row>
    <row r="34" customFormat="false" ht="13.8" hidden="false" customHeight="false" outlineLevel="0" collapsed="false">
      <c r="B34" s="59"/>
      <c r="C34" s="59"/>
      <c r="D34" s="59"/>
      <c r="E34" s="59"/>
      <c r="F34" s="59"/>
      <c r="G34" s="59"/>
    </row>
    <row r="35" customFormat="false" ht="13.8" hidden="false" customHeight="false" outlineLevel="0" collapsed="false">
      <c r="B35" s="59"/>
      <c r="C35" s="59"/>
      <c r="D35" s="59"/>
      <c r="E35" s="59"/>
      <c r="F35" s="59"/>
      <c r="G35" s="59"/>
    </row>
    <row r="36" customFormat="false" ht="13.8" hidden="false" customHeight="false" outlineLevel="0" collapsed="false">
      <c r="B36" s="59"/>
      <c r="C36" s="59"/>
      <c r="D36" s="59"/>
      <c r="E36" s="59"/>
      <c r="F36" s="59"/>
      <c r="G36" s="59"/>
    </row>
    <row r="37" customFormat="false" ht="13.8" hidden="false" customHeight="false" outlineLevel="0" collapsed="false">
      <c r="B37" s="59"/>
      <c r="C37" s="59"/>
      <c r="D37" s="59"/>
      <c r="E37" s="59"/>
      <c r="F37" s="59"/>
      <c r="G37" s="59"/>
    </row>
    <row r="38" customFormat="false" ht="13.8" hidden="false" customHeight="false" outlineLevel="0" collapsed="false">
      <c r="B38" s="59"/>
      <c r="C38" s="59"/>
      <c r="D38" s="59"/>
      <c r="E38" s="59"/>
      <c r="F38" s="59"/>
      <c r="G38" s="59"/>
    </row>
    <row r="39" customFormat="false" ht="13.8" hidden="false" customHeight="false" outlineLevel="0" collapsed="false">
      <c r="B39" s="59"/>
      <c r="C39" s="59"/>
      <c r="D39" s="59"/>
      <c r="E39" s="59"/>
      <c r="F39" s="59"/>
      <c r="G39" s="59"/>
    </row>
    <row r="40" customFormat="false" ht="13.8" hidden="false" customHeight="false" outlineLevel="0" collapsed="false">
      <c r="B40" s="59"/>
      <c r="C40" s="59"/>
      <c r="D40" s="59"/>
      <c r="E40" s="59"/>
      <c r="F40" s="59"/>
      <c r="G40" s="59"/>
    </row>
    <row r="41" customFormat="false" ht="13.8" hidden="false" customHeight="false" outlineLevel="0" collapsed="false">
      <c r="B41" s="59"/>
      <c r="C41" s="59"/>
      <c r="D41" s="59"/>
      <c r="E41" s="59"/>
      <c r="F41" s="59"/>
      <c r="G41" s="59"/>
    </row>
    <row r="42" customFormat="false" ht="13.8" hidden="false" customHeight="false" outlineLevel="0" collapsed="false">
      <c r="B42" s="59"/>
      <c r="C42" s="59"/>
      <c r="D42" s="59"/>
      <c r="E42" s="59"/>
      <c r="F42" s="59"/>
      <c r="G42" s="59"/>
    </row>
    <row r="43" customFormat="false" ht="13.8" hidden="false" customHeight="false" outlineLevel="0" collapsed="false">
      <c r="B43" s="59"/>
      <c r="C43" s="59"/>
      <c r="D43" s="59"/>
      <c r="E43" s="59"/>
      <c r="F43" s="59"/>
      <c r="G43" s="59"/>
    </row>
    <row r="44" customFormat="false" ht="13.8" hidden="false" customHeight="false" outlineLevel="0" collapsed="false">
      <c r="B44" s="59"/>
      <c r="C44" s="59"/>
      <c r="D44" s="59"/>
      <c r="E44" s="59"/>
      <c r="F44" s="59"/>
      <c r="G44" s="59"/>
    </row>
    <row r="45" customFormat="false" ht="13.8" hidden="false" customHeight="false" outlineLevel="0" collapsed="false">
      <c r="B45" s="59"/>
      <c r="C45" s="59"/>
      <c r="D45" s="59"/>
      <c r="E45" s="59"/>
      <c r="F45" s="59"/>
      <c r="G45" s="59"/>
    </row>
    <row r="46" customFormat="false" ht="13.8" hidden="false" customHeight="false" outlineLevel="0" collapsed="false">
      <c r="B46" s="59"/>
      <c r="C46" s="59"/>
      <c r="D46" s="59"/>
      <c r="E46" s="59"/>
      <c r="F46" s="59"/>
      <c r="G46" s="59"/>
    </row>
    <row r="47" customFormat="false" ht="13.8" hidden="false" customHeight="false" outlineLevel="0" collapsed="false">
      <c r="B47" s="59"/>
      <c r="C47" s="59"/>
      <c r="D47" s="59"/>
      <c r="E47" s="59"/>
      <c r="F47" s="59"/>
      <c r="G47" s="59"/>
    </row>
    <row r="48" customFormat="false" ht="13.8" hidden="false" customHeight="false" outlineLevel="0" collapsed="false">
      <c r="B48" s="59"/>
      <c r="C48" s="59"/>
      <c r="D48" s="59"/>
      <c r="E48" s="59"/>
      <c r="F48" s="59"/>
      <c r="G48" s="59"/>
    </row>
    <row r="49" customFormat="false" ht="13.8" hidden="false" customHeight="false" outlineLevel="0" collapsed="false">
      <c r="B49" s="59"/>
      <c r="C49" s="59"/>
      <c r="D49" s="59"/>
      <c r="E49" s="59"/>
      <c r="F49" s="59"/>
      <c r="G49" s="59"/>
    </row>
    <row r="50" customFormat="false" ht="13.8" hidden="false" customHeight="false" outlineLevel="0" collapsed="false">
      <c r="B50" s="59"/>
      <c r="C50" s="59"/>
      <c r="D50" s="59"/>
      <c r="E50" s="59"/>
      <c r="F50" s="59"/>
      <c r="G50" s="59"/>
    </row>
    <row r="51" customFormat="false" ht="13.8" hidden="false" customHeight="false" outlineLevel="0" collapsed="false">
      <c r="B51" s="59"/>
      <c r="C51" s="59"/>
      <c r="D51" s="59"/>
      <c r="E51" s="59"/>
      <c r="F51" s="59"/>
      <c r="G51" s="59"/>
    </row>
    <row r="52" customFormat="false" ht="13.8" hidden="false" customHeight="false" outlineLevel="0" collapsed="false">
      <c r="B52" s="59"/>
      <c r="C52" s="59"/>
      <c r="D52" s="59"/>
      <c r="E52" s="59"/>
      <c r="F52" s="59"/>
      <c r="G52" s="59"/>
    </row>
    <row r="53" customFormat="false" ht="13.8" hidden="false" customHeight="false" outlineLevel="0" collapsed="false">
      <c r="B53" s="59"/>
      <c r="C53" s="59"/>
      <c r="D53" s="59"/>
      <c r="E53" s="59"/>
      <c r="F53" s="59"/>
      <c r="G53" s="59"/>
    </row>
    <row r="54" customFormat="false" ht="13.8" hidden="false" customHeight="false" outlineLevel="0" collapsed="false">
      <c r="B54" s="59"/>
      <c r="C54" s="59"/>
      <c r="D54" s="59"/>
      <c r="E54" s="59"/>
      <c r="F54" s="59"/>
      <c r="G54" s="59"/>
    </row>
    <row r="55" customFormat="false" ht="13.8" hidden="false" customHeight="false" outlineLevel="0" collapsed="false">
      <c r="B55" s="59"/>
      <c r="C55" s="59"/>
      <c r="D55" s="59"/>
      <c r="E55" s="59"/>
      <c r="F55" s="59"/>
      <c r="G55" s="59"/>
    </row>
    <row r="56" customFormat="false" ht="13.8" hidden="false" customHeight="false" outlineLevel="0" collapsed="false">
      <c r="B56" s="59"/>
      <c r="C56" s="59"/>
      <c r="D56" s="59"/>
      <c r="E56" s="59"/>
      <c r="F56" s="59"/>
      <c r="G56" s="59"/>
    </row>
    <row r="57" customFormat="false" ht="13.8" hidden="false" customHeight="false" outlineLevel="0" collapsed="false">
      <c r="B57" s="59"/>
      <c r="C57" s="59"/>
      <c r="D57" s="59"/>
      <c r="E57" s="59"/>
      <c r="F57" s="59"/>
      <c r="G57" s="59"/>
    </row>
    <row r="58" customFormat="false" ht="13.8" hidden="false" customHeight="false" outlineLevel="0" collapsed="false">
      <c r="B58" s="59"/>
      <c r="C58" s="59"/>
      <c r="D58" s="59"/>
      <c r="E58" s="59"/>
      <c r="F58" s="59"/>
      <c r="G58" s="59"/>
    </row>
    <row r="59" customFormat="false" ht="13.8" hidden="false" customHeight="false" outlineLevel="0" collapsed="false">
      <c r="B59" s="59"/>
      <c r="C59" s="59"/>
      <c r="D59" s="59"/>
      <c r="E59" s="59"/>
      <c r="F59" s="59"/>
      <c r="G59" s="59"/>
    </row>
    <row r="60" customFormat="false" ht="13.8" hidden="false" customHeight="false" outlineLevel="0" collapsed="false">
      <c r="B60" s="59"/>
      <c r="C60" s="59"/>
      <c r="D60" s="59"/>
      <c r="E60" s="59"/>
      <c r="F60" s="59"/>
      <c r="G60" s="59"/>
    </row>
    <row r="61" customFormat="false" ht="13.8" hidden="false" customHeight="false" outlineLevel="0" collapsed="false">
      <c r="B61" s="59"/>
      <c r="C61" s="59"/>
      <c r="D61" s="59"/>
      <c r="E61" s="59"/>
      <c r="F61" s="59"/>
      <c r="G61" s="59"/>
    </row>
    <row r="62" customFormat="false" ht="13.8" hidden="false" customHeight="false" outlineLevel="0" collapsed="false">
      <c r="B62" s="59"/>
      <c r="C62" s="59"/>
      <c r="D62" s="59"/>
      <c r="E62" s="59"/>
      <c r="F62" s="59"/>
      <c r="G62" s="59"/>
    </row>
    <row r="63" customFormat="false" ht="13.8" hidden="false" customHeight="false" outlineLevel="0" collapsed="false">
      <c r="B63" s="59"/>
      <c r="C63" s="59"/>
      <c r="D63" s="59"/>
      <c r="E63" s="59"/>
      <c r="F63" s="59"/>
      <c r="G63" s="59"/>
    </row>
    <row r="64" customFormat="false" ht="13.8" hidden="false" customHeight="false" outlineLevel="0" collapsed="false">
      <c r="B64" s="59"/>
      <c r="C64" s="59"/>
      <c r="D64" s="59"/>
      <c r="E64" s="59"/>
      <c r="F64" s="59"/>
      <c r="G64" s="59"/>
    </row>
    <row r="65" customFormat="false" ht="13.8" hidden="false" customHeight="false" outlineLevel="0" collapsed="false">
      <c r="B65" s="59"/>
      <c r="C65" s="59"/>
      <c r="D65" s="59"/>
      <c r="E65" s="59"/>
      <c r="F65" s="59"/>
      <c r="G65" s="59"/>
    </row>
    <row r="66" customFormat="false" ht="13.8" hidden="false" customHeight="false" outlineLevel="0" collapsed="false">
      <c r="B66" s="59"/>
      <c r="C66" s="59"/>
      <c r="D66" s="59"/>
      <c r="E66" s="59"/>
      <c r="F66" s="59"/>
      <c r="G66" s="59"/>
    </row>
    <row r="67" customFormat="false" ht="13.8" hidden="false" customHeight="false" outlineLevel="0" collapsed="false">
      <c r="B67" s="59"/>
      <c r="C67" s="59"/>
      <c r="D67" s="59"/>
      <c r="E67" s="59"/>
      <c r="F67" s="59"/>
      <c r="G67" s="59"/>
    </row>
    <row r="68" customFormat="false" ht="13.8" hidden="false" customHeight="false" outlineLevel="0" collapsed="false">
      <c r="B68" s="59"/>
      <c r="C68" s="59"/>
      <c r="D68" s="59"/>
      <c r="E68" s="59"/>
      <c r="F68" s="59"/>
      <c r="G68" s="59"/>
    </row>
    <row r="69" customFormat="false" ht="13.8" hidden="false" customHeight="false" outlineLevel="0" collapsed="false">
      <c r="B69" s="59"/>
      <c r="C69" s="59"/>
      <c r="D69" s="59"/>
      <c r="E69" s="59"/>
      <c r="F69" s="59"/>
      <c r="G69" s="59"/>
    </row>
    <row r="70" customFormat="false" ht="13.8" hidden="false" customHeight="false" outlineLevel="0" collapsed="false">
      <c r="B70" s="59"/>
      <c r="C70" s="59"/>
      <c r="D70" s="59"/>
      <c r="E70" s="59"/>
      <c r="F70" s="59"/>
      <c r="G70" s="59"/>
    </row>
    <row r="71" customFormat="false" ht="13.8" hidden="false" customHeight="false" outlineLevel="0" collapsed="false">
      <c r="B71" s="59"/>
      <c r="C71" s="59"/>
      <c r="D71" s="59"/>
      <c r="E71" s="59"/>
      <c r="F71" s="59"/>
      <c r="G71" s="59"/>
    </row>
    <row r="72" customFormat="false" ht="13.8" hidden="false" customHeight="false" outlineLevel="0" collapsed="false">
      <c r="B72" s="59"/>
      <c r="C72" s="59"/>
      <c r="D72" s="59"/>
      <c r="E72" s="59"/>
      <c r="F72" s="59"/>
      <c r="G72" s="59"/>
    </row>
    <row r="73" customFormat="false" ht="13.8" hidden="false" customHeight="false" outlineLevel="0" collapsed="false">
      <c r="B73" s="59"/>
      <c r="C73" s="59"/>
      <c r="D73" s="59"/>
      <c r="E73" s="59"/>
      <c r="F73" s="59"/>
      <c r="G73" s="59"/>
    </row>
    <row r="74" customFormat="false" ht="13.8" hidden="false" customHeight="false" outlineLevel="0" collapsed="false">
      <c r="B74" s="59"/>
      <c r="C74" s="59"/>
      <c r="D74" s="59"/>
      <c r="E74" s="59"/>
      <c r="F74" s="59"/>
      <c r="G74" s="59"/>
    </row>
    <row r="75" customFormat="false" ht="13.8" hidden="false" customHeight="false" outlineLevel="0" collapsed="false">
      <c r="B75" s="59"/>
      <c r="C75" s="59"/>
      <c r="D75" s="59"/>
      <c r="E75" s="59"/>
      <c r="F75" s="59"/>
      <c r="G75" s="59"/>
    </row>
    <row r="76" customFormat="false" ht="13.8" hidden="false" customHeight="false" outlineLevel="0" collapsed="false">
      <c r="B76" s="59"/>
      <c r="C76" s="59"/>
      <c r="D76" s="59"/>
      <c r="E76" s="59"/>
      <c r="F76" s="59"/>
      <c r="G76" s="59"/>
    </row>
    <row r="77" customFormat="false" ht="13.8" hidden="false" customHeight="false" outlineLevel="0" collapsed="false">
      <c r="B77" s="59"/>
      <c r="C77" s="59"/>
      <c r="D77" s="59"/>
      <c r="E77" s="59"/>
      <c r="F77" s="59"/>
      <c r="G77" s="59"/>
    </row>
    <row r="78" customFormat="false" ht="13.8" hidden="false" customHeight="false" outlineLevel="0" collapsed="false">
      <c r="B78" s="59"/>
      <c r="C78" s="59"/>
      <c r="D78" s="59"/>
      <c r="E78" s="59"/>
      <c r="F78" s="59"/>
      <c r="G78" s="59"/>
    </row>
    <row r="79" customFormat="false" ht="13.8" hidden="false" customHeight="false" outlineLevel="0" collapsed="false">
      <c r="B79" s="59"/>
      <c r="C79" s="59"/>
      <c r="D79" s="59"/>
      <c r="E79" s="59"/>
      <c r="F79" s="59"/>
      <c r="G79" s="59"/>
    </row>
    <row r="80" customFormat="false" ht="13.8" hidden="false" customHeight="false" outlineLevel="0" collapsed="false">
      <c r="B80" s="59"/>
      <c r="C80" s="59"/>
      <c r="D80" s="59"/>
      <c r="E80" s="59"/>
      <c r="F80" s="59"/>
      <c r="G80" s="59"/>
    </row>
    <row r="81" customFormat="false" ht="13.8" hidden="false" customHeight="false" outlineLevel="0" collapsed="false">
      <c r="B81" s="59"/>
      <c r="C81" s="59"/>
      <c r="D81" s="59"/>
      <c r="E81" s="59"/>
      <c r="F81" s="59"/>
      <c r="G81" s="59"/>
    </row>
    <row r="82" customFormat="false" ht="13.8" hidden="false" customHeight="false" outlineLevel="0" collapsed="false">
      <c r="B82" s="59"/>
      <c r="C82" s="59"/>
      <c r="D82" s="59"/>
      <c r="E82" s="59"/>
      <c r="F82" s="59"/>
      <c r="G82" s="59"/>
    </row>
    <row r="83" customFormat="false" ht="13.8" hidden="false" customHeight="false" outlineLevel="0" collapsed="false">
      <c r="B83" s="59"/>
      <c r="C83" s="59"/>
      <c r="D83" s="59"/>
      <c r="E83" s="59"/>
      <c r="F83" s="59"/>
      <c r="G83" s="59"/>
    </row>
    <row r="84" customFormat="false" ht="13.8" hidden="false" customHeight="false" outlineLevel="0" collapsed="false">
      <c r="B84" s="59"/>
      <c r="C84" s="59"/>
      <c r="D84" s="59"/>
      <c r="E84" s="59"/>
      <c r="F84" s="59"/>
      <c r="G84" s="59"/>
    </row>
    <row r="85" customFormat="false" ht="13.8" hidden="false" customHeight="false" outlineLevel="0" collapsed="false">
      <c r="B85" s="59"/>
      <c r="C85" s="59"/>
      <c r="D85" s="59"/>
      <c r="E85" s="59"/>
      <c r="F85" s="59"/>
      <c r="G85" s="59"/>
    </row>
    <row r="86" customFormat="false" ht="13.8" hidden="false" customHeight="false" outlineLevel="0" collapsed="false">
      <c r="B86" s="59"/>
      <c r="C86" s="59"/>
      <c r="D86" s="59"/>
      <c r="E86" s="59"/>
      <c r="F86" s="59"/>
      <c r="G86" s="59"/>
    </row>
    <row r="87" customFormat="false" ht="13.8" hidden="false" customHeight="false" outlineLevel="0" collapsed="false">
      <c r="B87" s="59"/>
      <c r="C87" s="59"/>
      <c r="D87" s="59"/>
      <c r="E87" s="59"/>
      <c r="F87" s="59"/>
      <c r="G87" s="59"/>
    </row>
    <row r="88" customFormat="false" ht="13.8" hidden="false" customHeight="false" outlineLevel="0" collapsed="false">
      <c r="B88" s="59"/>
      <c r="C88" s="59"/>
      <c r="D88" s="59"/>
      <c r="E88" s="59"/>
      <c r="F88" s="59"/>
      <c r="G88" s="59"/>
    </row>
    <row r="89" customFormat="false" ht="13.8" hidden="false" customHeight="false" outlineLevel="0" collapsed="false">
      <c r="B89" s="59"/>
      <c r="C89" s="59"/>
      <c r="D89" s="59"/>
      <c r="E89" s="59"/>
      <c r="F89" s="59"/>
      <c r="G89" s="59"/>
    </row>
    <row r="90" customFormat="false" ht="13.8" hidden="false" customHeight="false" outlineLevel="0" collapsed="false">
      <c r="B90" s="59"/>
      <c r="C90" s="59"/>
      <c r="D90" s="59"/>
      <c r="E90" s="59"/>
      <c r="F90" s="59"/>
      <c r="G90" s="59"/>
    </row>
    <row r="91" customFormat="false" ht="13.8" hidden="false" customHeight="false" outlineLevel="0" collapsed="false">
      <c r="B91" s="59"/>
      <c r="C91" s="59"/>
      <c r="D91" s="59"/>
      <c r="E91" s="59"/>
      <c r="F91" s="59"/>
      <c r="G91" s="59"/>
    </row>
    <row r="92" customFormat="false" ht="13.8" hidden="false" customHeight="false" outlineLevel="0" collapsed="false">
      <c r="B92" s="59"/>
      <c r="C92" s="59"/>
      <c r="D92" s="59"/>
      <c r="E92" s="59"/>
      <c r="F92" s="59"/>
      <c r="G92" s="59"/>
    </row>
    <row r="93" customFormat="false" ht="13.8" hidden="false" customHeight="false" outlineLevel="0" collapsed="false">
      <c r="B93" s="59"/>
      <c r="C93" s="59"/>
      <c r="D93" s="59"/>
      <c r="E93" s="59"/>
      <c r="F93" s="59"/>
      <c r="G93" s="59"/>
    </row>
    <row r="94" customFormat="false" ht="13.8" hidden="false" customHeight="false" outlineLevel="0" collapsed="false">
      <c r="B94" s="59"/>
      <c r="C94" s="59"/>
      <c r="D94" s="59"/>
      <c r="E94" s="59"/>
      <c r="F94" s="59"/>
      <c r="G94" s="59"/>
    </row>
    <row r="95" customFormat="false" ht="13.8" hidden="false" customHeight="false" outlineLevel="0" collapsed="false">
      <c r="B95" s="59"/>
      <c r="C95" s="59"/>
      <c r="D95" s="59"/>
      <c r="E95" s="59"/>
      <c r="F95" s="59"/>
      <c r="G95" s="59"/>
    </row>
    <row r="96" customFormat="false" ht="13.8" hidden="false" customHeight="false" outlineLevel="0" collapsed="false">
      <c r="B96" s="59"/>
      <c r="C96" s="59"/>
      <c r="D96" s="59"/>
      <c r="E96" s="59"/>
      <c r="F96" s="59"/>
      <c r="G96" s="59"/>
    </row>
    <row r="97" customFormat="false" ht="13.8" hidden="false" customHeight="false" outlineLevel="0" collapsed="false">
      <c r="B97" s="59"/>
      <c r="C97" s="59"/>
      <c r="D97" s="59"/>
      <c r="E97" s="59"/>
      <c r="F97" s="59"/>
      <c r="G97" s="59"/>
    </row>
    <row r="98" customFormat="false" ht="13.8" hidden="false" customHeight="false" outlineLevel="0" collapsed="false">
      <c r="B98" s="59"/>
      <c r="C98" s="59"/>
      <c r="D98" s="59"/>
      <c r="E98" s="59"/>
      <c r="F98" s="59"/>
      <c r="G98" s="59"/>
    </row>
    <row r="99" customFormat="false" ht="13.8" hidden="false" customHeight="false" outlineLevel="0" collapsed="false">
      <c r="B99" s="59"/>
      <c r="C99" s="59"/>
      <c r="D99" s="59"/>
      <c r="E99" s="59"/>
      <c r="F99" s="59"/>
      <c r="G99" s="59"/>
    </row>
    <row r="100" customFormat="false" ht="13.8" hidden="false" customHeight="false" outlineLevel="0" collapsed="false">
      <c r="B100" s="59"/>
      <c r="C100" s="59"/>
      <c r="D100" s="59"/>
      <c r="E100" s="59"/>
      <c r="F100" s="59"/>
      <c r="G100" s="59"/>
    </row>
    <row r="101" customFormat="false" ht="13.8" hidden="false" customHeight="false" outlineLevel="0" collapsed="false">
      <c r="B101" s="59"/>
      <c r="C101" s="59"/>
      <c r="D101" s="59"/>
      <c r="E101" s="59"/>
      <c r="F101" s="59"/>
      <c r="G101" s="59"/>
    </row>
    <row r="102" customFormat="false" ht="13.8" hidden="false" customHeight="false" outlineLevel="0" collapsed="false">
      <c r="B102" s="59"/>
      <c r="C102" s="59"/>
      <c r="D102" s="59"/>
      <c r="E102" s="59"/>
      <c r="F102" s="59"/>
      <c r="G102" s="59"/>
    </row>
    <row r="103" customFormat="false" ht="13.8" hidden="false" customHeight="false" outlineLevel="0" collapsed="false">
      <c r="B103" s="59"/>
      <c r="C103" s="59"/>
      <c r="D103" s="59"/>
      <c r="E103" s="59"/>
      <c r="F103" s="59"/>
      <c r="G103" s="59"/>
    </row>
    <row r="104" customFormat="false" ht="13.8" hidden="false" customHeight="false" outlineLevel="0" collapsed="false">
      <c r="B104" s="59"/>
      <c r="C104" s="59"/>
      <c r="D104" s="59"/>
      <c r="E104" s="59"/>
      <c r="F104" s="59"/>
      <c r="G104" s="59"/>
    </row>
    <row r="105" customFormat="false" ht="13.8" hidden="false" customHeight="false" outlineLevel="0" collapsed="false">
      <c r="B105" s="59"/>
      <c r="C105" s="59"/>
      <c r="D105" s="59"/>
      <c r="E105" s="59"/>
      <c r="F105" s="59"/>
      <c r="G105" s="59"/>
    </row>
    <row r="106" customFormat="false" ht="13.8" hidden="false" customHeight="false" outlineLevel="0" collapsed="false">
      <c r="B106" s="59"/>
      <c r="C106" s="59"/>
      <c r="D106" s="59"/>
      <c r="E106" s="59"/>
      <c r="F106" s="59"/>
      <c r="G106" s="59"/>
    </row>
    <row r="107" customFormat="false" ht="13.8" hidden="false" customHeight="false" outlineLevel="0" collapsed="false">
      <c r="B107" s="59"/>
      <c r="C107" s="59"/>
      <c r="D107" s="59"/>
      <c r="E107" s="59"/>
      <c r="F107" s="59"/>
      <c r="G107" s="59"/>
    </row>
    <row r="108" customFormat="false" ht="13.8" hidden="false" customHeight="false" outlineLevel="0" collapsed="false">
      <c r="B108" s="59"/>
      <c r="C108" s="59"/>
      <c r="D108" s="59"/>
      <c r="E108" s="59"/>
      <c r="F108" s="59"/>
      <c r="G108" s="59"/>
    </row>
    <row r="109" customFormat="false" ht="13.8" hidden="false" customHeight="false" outlineLevel="0" collapsed="false">
      <c r="B109" s="59"/>
      <c r="C109" s="59"/>
      <c r="D109" s="59"/>
      <c r="E109" s="59"/>
      <c r="F109" s="59"/>
      <c r="G109" s="59"/>
    </row>
    <row r="110" customFormat="false" ht="13.8" hidden="false" customHeight="false" outlineLevel="0" collapsed="false">
      <c r="B110" s="59"/>
      <c r="C110" s="59"/>
      <c r="D110" s="59"/>
      <c r="E110" s="59"/>
      <c r="F110" s="59"/>
      <c r="G110" s="59"/>
    </row>
    <row r="111" customFormat="false" ht="13.8" hidden="false" customHeight="false" outlineLevel="0" collapsed="false">
      <c r="B111" s="59"/>
      <c r="C111" s="59"/>
      <c r="D111" s="59"/>
      <c r="E111" s="59"/>
      <c r="F111" s="59"/>
      <c r="G111" s="59"/>
    </row>
    <row r="112" customFormat="false" ht="13.8" hidden="false" customHeight="false" outlineLevel="0" collapsed="false">
      <c r="B112" s="59"/>
      <c r="C112" s="59"/>
      <c r="D112" s="59"/>
      <c r="E112" s="59"/>
      <c r="F112" s="59"/>
      <c r="G112" s="59"/>
    </row>
    <row r="113" customFormat="false" ht="13.8" hidden="false" customHeight="false" outlineLevel="0" collapsed="false">
      <c r="B113" s="59"/>
      <c r="C113" s="59"/>
      <c r="D113" s="59"/>
      <c r="E113" s="59"/>
      <c r="F113" s="59"/>
      <c r="G113" s="59"/>
    </row>
    <row r="114" customFormat="false" ht="13.8" hidden="false" customHeight="false" outlineLevel="0" collapsed="false">
      <c r="B114" s="59"/>
      <c r="C114" s="59"/>
      <c r="D114" s="59"/>
      <c r="E114" s="59"/>
      <c r="F114" s="59"/>
      <c r="G114" s="59"/>
    </row>
    <row r="115" customFormat="false" ht="13.8" hidden="false" customHeight="false" outlineLevel="0" collapsed="false">
      <c r="B115" s="59"/>
      <c r="C115" s="59"/>
      <c r="D115" s="59"/>
      <c r="E115" s="59"/>
      <c r="F115" s="59"/>
      <c r="G115" s="59"/>
    </row>
    <row r="116" customFormat="false" ht="13.8" hidden="false" customHeight="false" outlineLevel="0" collapsed="false">
      <c r="B116" s="59"/>
      <c r="C116" s="59"/>
      <c r="D116" s="59"/>
      <c r="E116" s="59"/>
      <c r="F116" s="59"/>
      <c r="G116" s="59"/>
    </row>
    <row r="117" customFormat="false" ht="13.8" hidden="false" customHeight="false" outlineLevel="0" collapsed="false">
      <c r="B117" s="59"/>
      <c r="C117" s="59"/>
      <c r="D117" s="59"/>
      <c r="E117" s="59"/>
      <c r="F117" s="59"/>
      <c r="G117" s="59"/>
    </row>
    <row r="118" customFormat="false" ht="13.8" hidden="false" customHeight="false" outlineLevel="0" collapsed="false">
      <c r="B118" s="59"/>
      <c r="C118" s="59"/>
      <c r="D118" s="59"/>
      <c r="E118" s="59"/>
      <c r="F118" s="59"/>
      <c r="G118" s="59"/>
    </row>
    <row r="119" customFormat="false" ht="13.8" hidden="false" customHeight="false" outlineLevel="0" collapsed="false">
      <c r="B119" s="59"/>
      <c r="C119" s="59"/>
      <c r="D119" s="59"/>
      <c r="E119" s="59"/>
      <c r="F119" s="59"/>
      <c r="G119" s="59"/>
    </row>
    <row r="120" customFormat="false" ht="13.8" hidden="false" customHeight="false" outlineLevel="0" collapsed="false">
      <c r="B120" s="59"/>
      <c r="C120" s="59"/>
      <c r="D120" s="59"/>
      <c r="E120" s="59"/>
      <c r="F120" s="59"/>
      <c r="G120" s="59"/>
    </row>
    <row r="121" customFormat="false" ht="13.8" hidden="false" customHeight="false" outlineLevel="0" collapsed="false">
      <c r="B121" s="59"/>
      <c r="C121" s="59"/>
      <c r="D121" s="59"/>
      <c r="E121" s="59"/>
      <c r="F121" s="59"/>
      <c r="G121" s="59"/>
    </row>
    <row r="122" customFormat="false" ht="13.8" hidden="false" customHeight="false" outlineLevel="0" collapsed="false">
      <c r="B122" s="59"/>
      <c r="C122" s="59"/>
      <c r="D122" s="59"/>
      <c r="E122" s="59"/>
      <c r="F122" s="59"/>
      <c r="G122" s="59"/>
    </row>
    <row r="123" customFormat="false" ht="13.8" hidden="false" customHeight="false" outlineLevel="0" collapsed="false">
      <c r="B123" s="59"/>
      <c r="C123" s="59"/>
      <c r="D123" s="59"/>
      <c r="E123" s="59"/>
      <c r="F123" s="59"/>
      <c r="G123" s="59"/>
    </row>
    <row r="124" customFormat="false" ht="13.8" hidden="false" customHeight="false" outlineLevel="0" collapsed="false">
      <c r="B124" s="59"/>
      <c r="C124" s="59"/>
      <c r="D124" s="59"/>
      <c r="E124" s="59"/>
      <c r="F124" s="59"/>
      <c r="G124" s="59"/>
    </row>
    <row r="125" customFormat="false" ht="13.8" hidden="false" customHeight="false" outlineLevel="0" collapsed="false">
      <c r="B125" s="59"/>
      <c r="C125" s="59"/>
      <c r="D125" s="59"/>
      <c r="E125" s="59"/>
      <c r="F125" s="59"/>
      <c r="G125" s="59"/>
    </row>
    <row r="126" customFormat="false" ht="13.8" hidden="false" customHeight="false" outlineLevel="0" collapsed="false">
      <c r="B126" s="59"/>
      <c r="C126" s="59"/>
      <c r="D126" s="59"/>
      <c r="E126" s="59"/>
      <c r="F126" s="59"/>
      <c r="G126" s="59"/>
    </row>
    <row r="127" customFormat="false" ht="13.8" hidden="false" customHeight="false" outlineLevel="0" collapsed="false">
      <c r="B127" s="59"/>
      <c r="C127" s="59"/>
      <c r="D127" s="59"/>
      <c r="E127" s="59"/>
      <c r="F127" s="59"/>
      <c r="G127" s="59"/>
    </row>
    <row r="128" customFormat="false" ht="13.8" hidden="false" customHeight="false" outlineLevel="0" collapsed="false">
      <c r="B128" s="59"/>
      <c r="C128" s="59"/>
      <c r="D128" s="59"/>
      <c r="E128" s="59"/>
      <c r="F128" s="59"/>
      <c r="G128" s="59"/>
    </row>
    <row r="129" customFormat="false" ht="13.8" hidden="false" customHeight="false" outlineLevel="0" collapsed="false">
      <c r="B129" s="59"/>
      <c r="C129" s="59"/>
      <c r="D129" s="59"/>
      <c r="E129" s="59"/>
      <c r="F129" s="59"/>
      <c r="G129" s="59"/>
    </row>
    <row r="130" customFormat="false" ht="13.8" hidden="false" customHeight="false" outlineLevel="0" collapsed="false">
      <c r="B130" s="59"/>
      <c r="C130" s="59"/>
      <c r="D130" s="59"/>
      <c r="E130" s="59"/>
      <c r="F130" s="59"/>
      <c r="G130" s="59"/>
    </row>
    <row r="131" customFormat="false" ht="13.8" hidden="false" customHeight="false" outlineLevel="0" collapsed="false">
      <c r="B131" s="59"/>
      <c r="C131" s="59"/>
      <c r="D131" s="59"/>
      <c r="E131" s="59"/>
      <c r="F131" s="59"/>
      <c r="G131" s="59"/>
    </row>
    <row r="132" customFormat="false" ht="13.8" hidden="false" customHeight="false" outlineLevel="0" collapsed="false">
      <c r="B132" s="59"/>
      <c r="C132" s="59"/>
      <c r="D132" s="59"/>
      <c r="E132" s="59"/>
      <c r="F132" s="59"/>
      <c r="G132" s="59"/>
    </row>
    <row r="133" customFormat="false" ht="13.8" hidden="false" customHeight="false" outlineLevel="0" collapsed="false">
      <c r="B133" s="59"/>
      <c r="C133" s="59"/>
      <c r="D133" s="59"/>
      <c r="E133" s="59"/>
      <c r="F133" s="59"/>
      <c r="G133" s="59"/>
    </row>
  </sheetData>
  <mergeCells count="2">
    <mergeCell ref="B6:G6"/>
    <mergeCell ref="B7:G7"/>
  </mergeCells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BD49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ColWidth="8.9921875" defaultRowHeight="14.4" zeroHeight="false" outlineLevelRow="0" outlineLevelCol="0"/>
  <cols>
    <col collapsed="false" customWidth="true" hidden="false" outlineLevel="0" max="1" min="1" style="11" width="8.29"/>
    <col collapsed="false" customWidth="true" hidden="false" outlineLevel="0" max="2" min="2" style="11" width="10.5"/>
    <col collapsed="false" customWidth="false" hidden="false" outlineLevel="0" max="3" min="3" style="11" width="9"/>
    <col collapsed="false" customWidth="true" hidden="false" outlineLevel="0" max="4" min="4" style="11" width="3.8"/>
    <col collapsed="false" customWidth="true" hidden="false" outlineLevel="0" max="5" min="5" style="11" width="24.6"/>
    <col collapsed="false" customWidth="true" hidden="false" outlineLevel="0" max="6" min="6" style="11" width="24"/>
    <col collapsed="false" customWidth="true" hidden="false" outlineLevel="0" max="7" min="7" style="11" width="10.2"/>
    <col collapsed="false" customWidth="true" hidden="false" outlineLevel="0" max="8" min="8" style="11" width="12.5"/>
    <col collapsed="false" customWidth="false" hidden="false" outlineLevel="0" max="9" min="9" style="11" width="9"/>
    <col collapsed="false" customWidth="true" hidden="false" outlineLevel="0" max="10" min="10" style="11" width="19.59"/>
    <col collapsed="false" customWidth="true" hidden="false" outlineLevel="0" max="11" min="11" style="11" width="13.2"/>
    <col collapsed="false" customWidth="false" hidden="false" outlineLevel="0" max="12" min="12" style="11" width="9"/>
    <col collapsed="false" customWidth="true" hidden="false" outlineLevel="0" max="13" min="13" style="11" width="22.2"/>
    <col collapsed="false" customWidth="false" hidden="false" outlineLevel="0" max="1024" min="14" style="11" width="9"/>
  </cols>
  <sheetData>
    <row r="2" customFormat="false" ht="14.4" hidden="false" customHeight="false" outlineLevel="0" collapsed="false">
      <c r="B2" s="12"/>
    </row>
    <row r="3" customFormat="false" ht="14.4" hidden="false" customHeight="false" outlineLevel="0" collapsed="false">
      <c r="B3" s="12" t="s">
        <v>101</v>
      </c>
    </row>
    <row r="5" customFormat="false" ht="15" hidden="false" customHeight="false" outlineLevel="0" collapsed="false"/>
    <row r="6" customFormat="false" ht="88.5" hidden="false" customHeight="true" outlineLevel="0" collapsed="false">
      <c r="E6" s="60" t="s">
        <v>13</v>
      </c>
      <c r="F6" s="60"/>
      <c r="G6" s="61"/>
      <c r="H6" s="62"/>
    </row>
    <row r="7" customFormat="false" ht="14.4" hidden="false" customHeight="false" outlineLevel="0" collapsed="false">
      <c r="E7" s="63" t="n">
        <f aca="true">NOW()</f>
        <v>44326.2208798535</v>
      </c>
      <c r="F7" s="63"/>
      <c r="G7" s="64"/>
      <c r="H7" s="65"/>
    </row>
    <row r="8" customFormat="false" ht="15" hidden="false" customHeight="false" outlineLevel="0" collapsed="false">
      <c r="E8" s="66"/>
      <c r="F8" s="67"/>
      <c r="G8" s="68"/>
      <c r="H8" s="68"/>
    </row>
    <row r="9" customFormat="false" ht="26.4" hidden="false" customHeight="false" outlineLevel="0" collapsed="false">
      <c r="E9" s="69" t="s">
        <v>102</v>
      </c>
      <c r="F9" s="70" t="s">
        <v>103</v>
      </c>
      <c r="G9" s="61"/>
      <c r="H9" s="71"/>
      <c r="I9" s="71"/>
    </row>
    <row r="10" customFormat="false" ht="14.4" hidden="false" customHeight="false" outlineLevel="0" collapsed="false">
      <c r="B10" s="36" t="s">
        <v>59</v>
      </c>
      <c r="C10" s="68"/>
      <c r="E10" s="72"/>
      <c r="F10" s="73"/>
    </row>
    <row r="11" customFormat="false" ht="14.4" hidden="false" customHeight="false" outlineLevel="0" collapsed="false">
      <c r="B11" s="39" t="s">
        <v>60</v>
      </c>
      <c r="C11" s="68"/>
      <c r="E11" s="74"/>
      <c r="F11" s="75"/>
    </row>
    <row r="12" customFormat="false" ht="14.4" hidden="false" customHeight="false" outlineLevel="0" collapsed="false">
      <c r="B12" s="39" t="s">
        <v>61</v>
      </c>
      <c r="C12" s="68"/>
      <c r="E12" s="74"/>
      <c r="F12" s="75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</row>
    <row r="13" customFormat="false" ht="14.4" hidden="false" customHeight="false" outlineLevel="0" collapsed="false">
      <c r="B13" s="39" t="s">
        <v>62</v>
      </c>
      <c r="C13" s="68"/>
      <c r="E13" s="74"/>
      <c r="F13" s="75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</row>
    <row r="14" customFormat="false" ht="14.4" hidden="false" customHeight="false" outlineLevel="0" collapsed="false">
      <c r="B14" s="39" t="s">
        <v>63</v>
      </c>
      <c r="C14" s="68"/>
      <c r="E14" s="74"/>
      <c r="F14" s="75"/>
      <c r="J14" s="76"/>
      <c r="K14" s="77"/>
      <c r="L14" s="71"/>
      <c r="M14" s="71"/>
      <c r="N14" s="78"/>
      <c r="O14" s="79"/>
    </row>
    <row r="15" customFormat="false" ht="14.4" hidden="false" customHeight="false" outlineLevel="0" collapsed="false">
      <c r="B15" s="39" t="s">
        <v>64</v>
      </c>
      <c r="C15" s="68"/>
      <c r="E15" s="74"/>
      <c r="F15" s="75"/>
      <c r="J15" s="76"/>
      <c r="K15" s="77"/>
      <c r="L15" s="71"/>
      <c r="M15" s="71"/>
      <c r="N15" s="78"/>
      <c r="O15" s="79"/>
    </row>
    <row r="16" customFormat="false" ht="14.4" hidden="false" customHeight="false" outlineLevel="0" collapsed="false">
      <c r="B16" s="39" t="s">
        <v>65</v>
      </c>
      <c r="C16" s="68"/>
      <c r="E16" s="74"/>
      <c r="F16" s="75"/>
      <c r="J16" s="76"/>
      <c r="K16" s="77"/>
      <c r="L16" s="71"/>
      <c r="M16" s="71"/>
      <c r="N16" s="78"/>
      <c r="O16" s="79"/>
    </row>
    <row r="17" customFormat="false" ht="14.4" hidden="false" customHeight="false" outlineLevel="0" collapsed="false">
      <c r="B17" s="39" t="s">
        <v>66</v>
      </c>
      <c r="C17" s="68"/>
      <c r="E17" s="74"/>
      <c r="F17" s="75"/>
      <c r="J17" s="76"/>
      <c r="K17" s="77"/>
      <c r="L17" s="71"/>
      <c r="M17" s="71"/>
      <c r="N17" s="78"/>
      <c r="O17" s="79"/>
    </row>
    <row r="18" customFormat="false" ht="14.4" hidden="false" customHeight="false" outlineLevel="0" collapsed="false">
      <c r="B18" s="39" t="s">
        <v>67</v>
      </c>
      <c r="C18" s="68"/>
      <c r="E18" s="74"/>
      <c r="F18" s="75"/>
      <c r="J18" s="76"/>
      <c r="K18" s="77"/>
      <c r="L18" s="71"/>
      <c r="M18" s="71"/>
      <c r="N18" s="78"/>
      <c r="O18" s="79"/>
    </row>
    <row r="19" customFormat="false" ht="14.4" hidden="false" customHeight="false" outlineLevel="0" collapsed="false">
      <c r="B19" s="39" t="s">
        <v>68</v>
      </c>
      <c r="C19" s="68"/>
      <c r="E19" s="74"/>
      <c r="F19" s="75"/>
      <c r="J19" s="76"/>
      <c r="K19" s="77"/>
      <c r="L19" s="71"/>
      <c r="M19" s="71"/>
      <c r="N19" s="78"/>
      <c r="O19" s="79"/>
    </row>
    <row r="20" customFormat="false" ht="14.4" hidden="false" customHeight="false" outlineLevel="0" collapsed="false">
      <c r="B20" s="39" t="s">
        <v>69</v>
      </c>
      <c r="C20" s="68"/>
      <c r="E20" s="74"/>
      <c r="F20" s="75"/>
      <c r="J20" s="76"/>
      <c r="K20" s="77"/>
      <c r="L20" s="71"/>
      <c r="M20" s="71"/>
      <c r="N20" s="78"/>
      <c r="O20" s="79"/>
    </row>
    <row r="21" customFormat="false" ht="14.4" hidden="false" customHeight="false" outlineLevel="0" collapsed="false">
      <c r="B21" s="39" t="s">
        <v>70</v>
      </c>
      <c r="C21" s="68"/>
      <c r="E21" s="74"/>
      <c r="F21" s="75"/>
    </row>
    <row r="22" customFormat="false" ht="14.4" hidden="false" customHeight="false" outlineLevel="0" collapsed="false">
      <c r="B22" s="39" t="s">
        <v>71</v>
      </c>
      <c r="C22" s="68"/>
      <c r="E22" s="74"/>
      <c r="F22" s="75"/>
    </row>
    <row r="23" customFormat="false" ht="14.4" hidden="false" customHeight="false" outlineLevel="0" collapsed="false">
      <c r="B23" s="39" t="s">
        <v>72</v>
      </c>
      <c r="C23" s="68"/>
      <c r="E23" s="74"/>
      <c r="F23" s="75"/>
    </row>
    <row r="24" customFormat="false" ht="14.4" hidden="false" customHeight="false" outlineLevel="0" collapsed="false">
      <c r="B24" s="39" t="s">
        <v>73</v>
      </c>
      <c r="C24" s="68"/>
      <c r="E24" s="74"/>
      <c r="F24" s="75"/>
    </row>
    <row r="25" customFormat="false" ht="14.4" hidden="false" customHeight="false" outlineLevel="0" collapsed="false">
      <c r="B25" s="39" t="s">
        <v>74</v>
      </c>
      <c r="C25" s="68"/>
      <c r="E25" s="74"/>
      <c r="F25" s="75"/>
    </row>
    <row r="26" customFormat="false" ht="14.4" hidden="false" customHeight="false" outlineLevel="0" collapsed="false">
      <c r="B26" s="39" t="s">
        <v>75</v>
      </c>
      <c r="C26" s="68"/>
      <c r="E26" s="74"/>
      <c r="F26" s="75"/>
    </row>
    <row r="27" customFormat="false" ht="14.4" hidden="false" customHeight="false" outlineLevel="0" collapsed="false">
      <c r="B27" s="39" t="s">
        <v>76</v>
      </c>
      <c r="C27" s="68"/>
      <c r="E27" s="74"/>
      <c r="F27" s="75"/>
    </row>
    <row r="28" customFormat="false" ht="14.4" hidden="false" customHeight="false" outlineLevel="0" collapsed="false">
      <c r="B28" s="39" t="s">
        <v>77</v>
      </c>
      <c r="C28" s="68"/>
      <c r="E28" s="74"/>
      <c r="F28" s="75"/>
    </row>
    <row r="29" customFormat="false" ht="14.4" hidden="false" customHeight="false" outlineLevel="0" collapsed="false">
      <c r="B29" s="39" t="s">
        <v>78</v>
      </c>
      <c r="C29" s="68"/>
      <c r="E29" s="74"/>
      <c r="F29" s="75"/>
    </row>
    <row r="30" customFormat="false" ht="14.4" hidden="false" customHeight="false" outlineLevel="0" collapsed="false">
      <c r="B30" s="39" t="s">
        <v>79</v>
      </c>
      <c r="C30" s="68"/>
      <c r="E30" s="74"/>
      <c r="F30" s="75"/>
    </row>
    <row r="31" customFormat="false" ht="14.4" hidden="false" customHeight="false" outlineLevel="0" collapsed="false">
      <c r="B31" s="39" t="s">
        <v>80</v>
      </c>
      <c r="C31" s="68"/>
      <c r="E31" s="74"/>
      <c r="F31" s="75"/>
    </row>
    <row r="32" customFormat="false" ht="14.4" hidden="false" customHeight="false" outlineLevel="0" collapsed="false">
      <c r="B32" s="39" t="s">
        <v>81</v>
      </c>
      <c r="C32" s="68"/>
      <c r="E32" s="74"/>
      <c r="F32" s="75"/>
    </row>
    <row r="33" customFormat="false" ht="14.4" hidden="false" customHeight="false" outlineLevel="0" collapsed="false">
      <c r="B33" s="39" t="s">
        <v>82</v>
      </c>
      <c r="C33" s="68"/>
      <c r="E33" s="74"/>
      <c r="F33" s="75"/>
    </row>
    <row r="34" customFormat="false" ht="14.4" hidden="false" customHeight="false" outlineLevel="0" collapsed="false">
      <c r="B34" s="39" t="s">
        <v>83</v>
      </c>
      <c r="C34" s="68"/>
      <c r="E34" s="74"/>
      <c r="F34" s="75"/>
    </row>
    <row r="35" customFormat="false" ht="14.4" hidden="false" customHeight="false" outlineLevel="0" collapsed="false">
      <c r="B35" s="39" t="s">
        <v>84</v>
      </c>
      <c r="C35" s="68"/>
      <c r="E35" s="74"/>
      <c r="F35" s="75"/>
    </row>
    <row r="36" customFormat="false" ht="14.4" hidden="false" customHeight="false" outlineLevel="0" collapsed="false">
      <c r="B36" s="39" t="s">
        <v>85</v>
      </c>
      <c r="C36" s="68"/>
      <c r="E36" s="74"/>
      <c r="F36" s="75"/>
    </row>
    <row r="37" customFormat="false" ht="14.4" hidden="false" customHeight="false" outlineLevel="0" collapsed="false">
      <c r="B37" s="39" t="s">
        <v>86</v>
      </c>
      <c r="C37" s="68"/>
      <c r="E37" s="74"/>
      <c r="F37" s="75"/>
    </row>
    <row r="38" customFormat="false" ht="14.4" hidden="false" customHeight="false" outlineLevel="0" collapsed="false">
      <c r="B38" s="39" t="s">
        <v>87</v>
      </c>
      <c r="C38" s="68"/>
      <c r="E38" s="74"/>
      <c r="F38" s="75"/>
    </row>
    <row r="39" customFormat="false" ht="14.4" hidden="false" customHeight="false" outlineLevel="0" collapsed="false">
      <c r="B39" s="39" t="s">
        <v>88</v>
      </c>
      <c r="C39" s="68"/>
      <c r="E39" s="74"/>
      <c r="F39" s="75"/>
    </row>
    <row r="40" customFormat="false" ht="14.4" hidden="false" customHeight="false" outlineLevel="0" collapsed="false">
      <c r="B40" s="39" t="s">
        <v>89</v>
      </c>
      <c r="C40" s="68"/>
      <c r="E40" s="74"/>
      <c r="F40" s="75"/>
    </row>
    <row r="41" customFormat="false" ht="14.4" hidden="false" customHeight="false" outlineLevel="0" collapsed="false">
      <c r="B41" s="39" t="s">
        <v>90</v>
      </c>
      <c r="C41" s="68"/>
      <c r="E41" s="74"/>
      <c r="F41" s="75"/>
    </row>
    <row r="42" customFormat="false" ht="14.4" hidden="false" customHeight="false" outlineLevel="0" collapsed="false">
      <c r="B42" s="39" t="s">
        <v>91</v>
      </c>
      <c r="C42" s="68"/>
      <c r="E42" s="74"/>
      <c r="F42" s="75"/>
    </row>
    <row r="43" customFormat="false" ht="14.4" hidden="false" customHeight="false" outlineLevel="0" collapsed="false">
      <c r="B43" s="39" t="s">
        <v>92</v>
      </c>
      <c r="C43" s="68"/>
      <c r="E43" s="74"/>
      <c r="F43" s="75"/>
    </row>
    <row r="44" customFormat="false" ht="14.4" hidden="false" customHeight="false" outlineLevel="0" collapsed="false">
      <c r="B44" s="39" t="s">
        <v>93</v>
      </c>
      <c r="C44" s="68"/>
      <c r="E44" s="74"/>
      <c r="F44" s="75"/>
    </row>
    <row r="45" customFormat="false" ht="14.4" hidden="false" customHeight="false" outlineLevel="0" collapsed="false">
      <c r="B45" s="39" t="s">
        <v>94</v>
      </c>
      <c r="C45" s="68"/>
      <c r="E45" s="74"/>
      <c r="F45" s="75"/>
    </row>
    <row r="46" customFormat="false" ht="14.4" hidden="false" customHeight="false" outlineLevel="0" collapsed="false">
      <c r="B46" s="39" t="s">
        <v>95</v>
      </c>
      <c r="C46" s="68"/>
      <c r="E46" s="74"/>
      <c r="F46" s="75"/>
    </row>
    <row r="47" customFormat="false" ht="14.4" hidden="false" customHeight="false" outlineLevel="0" collapsed="false">
      <c r="B47" s="39" t="s">
        <v>96</v>
      </c>
      <c r="C47" s="68"/>
      <c r="E47" s="74"/>
      <c r="F47" s="75"/>
    </row>
    <row r="48" customFormat="false" ht="14.4" hidden="false" customHeight="false" outlineLevel="0" collapsed="false">
      <c r="B48" s="39" t="s">
        <v>97</v>
      </c>
      <c r="C48" s="68"/>
      <c r="E48" s="74"/>
      <c r="F48" s="75"/>
    </row>
    <row r="49" customFormat="false" ht="15" hidden="false" customHeight="false" outlineLevel="0" collapsed="false">
      <c r="B49" s="42" t="s">
        <v>98</v>
      </c>
      <c r="C49" s="68"/>
      <c r="E49" s="80"/>
      <c r="F49" s="67"/>
    </row>
  </sheetData>
  <mergeCells count="2">
    <mergeCell ref="E6:F6"/>
    <mergeCell ref="E7:F7"/>
  </mergeCells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2:Q158"/>
  <sheetViews>
    <sheetView showFormulas="false" showGridLines="false" showRowColHeaders="true" showZeros="true" rightToLeft="false" tabSelected="false" showOutlineSymbols="true" defaultGridColor="true" view="normal" topLeftCell="A16" colorId="64" zoomScale="90" zoomScaleNormal="90" zoomScalePageLayoutView="100" workbookViewId="0">
      <selection pane="topLeft" activeCell="B2" activeCellId="0" sqref="B2"/>
    </sheetView>
  </sheetViews>
  <sheetFormatPr defaultColWidth="8.9921875" defaultRowHeight="14.4" zeroHeight="false" outlineLevelRow="0" outlineLevelCol="0"/>
  <cols>
    <col collapsed="false" customWidth="false" hidden="false" outlineLevel="0" max="1" min="1" style="81" width="9"/>
    <col collapsed="false" customWidth="true" hidden="false" outlineLevel="0" max="2" min="2" style="81" width="22.2"/>
    <col collapsed="false" customWidth="true" hidden="false" outlineLevel="0" max="3" min="3" style="81" width="19.3"/>
    <col collapsed="false" customWidth="true" hidden="false" outlineLevel="0" max="4" min="4" style="81" width="15.6"/>
    <col collapsed="false" customWidth="true" hidden="false" outlineLevel="0" max="5" min="5" style="81" width="12.6"/>
    <col collapsed="false" customWidth="true" hidden="false" outlineLevel="0" max="6" min="6" style="81" width="12.5"/>
    <col collapsed="false" customWidth="false" hidden="false" outlineLevel="0" max="7" min="7" style="82" width="9"/>
    <col collapsed="false" customWidth="true" hidden="false" outlineLevel="0" max="8" min="8" style="82" width="19.59"/>
    <col collapsed="false" customWidth="true" hidden="false" outlineLevel="0" max="9" min="9" style="82" width="13.2"/>
    <col collapsed="false" customWidth="false" hidden="false" outlineLevel="0" max="10" min="10" style="82" width="9"/>
    <col collapsed="false" customWidth="true" hidden="false" outlineLevel="0" max="11" min="11" style="82" width="22.2"/>
    <col collapsed="false" customWidth="false" hidden="false" outlineLevel="0" max="1024" min="12" style="81" width="9"/>
  </cols>
  <sheetData>
    <row r="2" customFormat="false" ht="14.4" hidden="false" customHeight="false" outlineLevel="0" collapsed="false">
      <c r="B2" s="12"/>
      <c r="D2" s="83"/>
    </row>
    <row r="3" customFormat="false" ht="14.4" hidden="false" customHeight="false" outlineLevel="0" collapsed="false">
      <c r="B3" s="12" t="s">
        <v>104</v>
      </c>
    </row>
    <row r="4" customFormat="false" ht="15" hidden="false" customHeight="false" outlineLevel="0" collapsed="false"/>
    <row r="5" customFormat="false" ht="97.5" hidden="false" customHeight="true" outlineLevel="0" collapsed="false">
      <c r="B5" s="84"/>
      <c r="C5" s="85" t="s">
        <v>13</v>
      </c>
      <c r="D5" s="86"/>
      <c r="E5" s="86"/>
      <c r="F5" s="87"/>
    </row>
    <row r="6" customFormat="false" ht="15" hidden="false" customHeight="false" outlineLevel="0" collapsed="false">
      <c r="B6" s="88"/>
      <c r="C6" s="89"/>
      <c r="D6" s="89"/>
      <c r="E6" s="89"/>
      <c r="F6" s="90"/>
    </row>
    <row r="7" customFormat="false" ht="28.8" hidden="false" customHeight="false" outlineLevel="0" collapsed="false">
      <c r="B7" s="91" t="s">
        <v>45</v>
      </c>
      <c r="C7" s="91" t="s">
        <v>105</v>
      </c>
      <c r="D7" s="92" t="s">
        <v>18</v>
      </c>
      <c r="E7" s="91" t="s">
        <v>106</v>
      </c>
      <c r="F7" s="91" t="s">
        <v>107</v>
      </c>
    </row>
    <row r="8" customFormat="false" ht="14.4" hidden="false" customHeight="false" outlineLevel="0" collapsed="false">
      <c r="B8" s="82" t="s">
        <v>108</v>
      </c>
      <c r="C8" s="93" t="s">
        <v>109</v>
      </c>
      <c r="D8" s="94" t="n">
        <v>40421</v>
      </c>
      <c r="E8" s="95" t="n">
        <f aca="false">F8/160</f>
        <v>2.675</v>
      </c>
      <c r="F8" s="96" t="n">
        <v>428</v>
      </c>
    </row>
    <row r="9" customFormat="false" ht="14.4" hidden="false" customHeight="false" outlineLevel="0" collapsed="false">
      <c r="B9" s="82" t="s">
        <v>108</v>
      </c>
      <c r="C9" s="93" t="s">
        <v>109</v>
      </c>
      <c r="D9" s="94" t="n">
        <v>40423</v>
      </c>
      <c r="E9" s="95" t="n">
        <f aca="false">F9/160</f>
        <v>2.625</v>
      </c>
      <c r="F9" s="96" t="n">
        <v>420</v>
      </c>
    </row>
    <row r="10" customFormat="false" ht="14.4" hidden="false" customHeight="false" outlineLevel="0" collapsed="false">
      <c r="B10" s="82" t="s">
        <v>110</v>
      </c>
      <c r="C10" s="93" t="s">
        <v>111</v>
      </c>
      <c r="D10" s="94" t="n">
        <v>40427</v>
      </c>
      <c r="E10" s="95" t="n">
        <f aca="false">F10/160</f>
        <v>3.0359375</v>
      </c>
      <c r="F10" s="96" t="n">
        <v>485.75</v>
      </c>
      <c r="I10" s="97"/>
      <c r="J10" s="97"/>
      <c r="K10" s="97"/>
      <c r="L10" s="98"/>
      <c r="M10" s="98"/>
      <c r="N10" s="98"/>
      <c r="O10" s="98"/>
      <c r="P10" s="98"/>
      <c r="Q10" s="98"/>
    </row>
    <row r="11" customFormat="false" ht="14.4" hidden="false" customHeight="false" outlineLevel="0" collapsed="false">
      <c r="B11" s="82" t="s">
        <v>112</v>
      </c>
      <c r="C11" s="93" t="s">
        <v>111</v>
      </c>
      <c r="D11" s="94" t="n">
        <v>40451</v>
      </c>
      <c r="E11" s="95" t="n">
        <f aca="false">F11/160</f>
        <v>2.6375</v>
      </c>
      <c r="F11" s="96" t="n">
        <v>422</v>
      </c>
      <c r="I11" s="97"/>
      <c r="J11" s="97"/>
      <c r="K11" s="97"/>
      <c r="L11" s="98"/>
      <c r="M11" s="98"/>
      <c r="N11" s="98"/>
      <c r="O11" s="98"/>
      <c r="P11" s="98"/>
      <c r="Q11" s="98"/>
    </row>
    <row r="12" customFormat="false" ht="14.4" hidden="false" customHeight="false" outlineLevel="0" collapsed="false">
      <c r="B12" s="82" t="s">
        <v>113</v>
      </c>
      <c r="C12" s="93" t="s">
        <v>114</v>
      </c>
      <c r="D12" s="94" t="n">
        <v>40469</v>
      </c>
      <c r="E12" s="95" t="n">
        <f aca="false">F12/160</f>
        <v>2.903125</v>
      </c>
      <c r="F12" s="96" t="n">
        <v>464.5</v>
      </c>
      <c r="I12" s="99"/>
      <c r="J12" s="93"/>
      <c r="K12" s="93"/>
      <c r="L12" s="100"/>
      <c r="M12" s="101"/>
    </row>
    <row r="13" customFormat="false" ht="14.4" hidden="false" customHeight="false" outlineLevel="0" collapsed="false">
      <c r="B13" s="82" t="s">
        <v>48</v>
      </c>
      <c r="C13" s="93" t="s">
        <v>115</v>
      </c>
      <c r="D13" s="94" t="n">
        <v>40763</v>
      </c>
      <c r="E13" s="95" t="n">
        <f aca="false">F13/160</f>
        <v>7.03125</v>
      </c>
      <c r="F13" s="96" t="n">
        <v>1125</v>
      </c>
      <c r="I13" s="99"/>
      <c r="J13" s="93"/>
      <c r="K13" s="93"/>
      <c r="L13" s="100"/>
      <c r="M13" s="101"/>
    </row>
    <row r="14" customFormat="false" ht="14.4" hidden="false" customHeight="false" outlineLevel="0" collapsed="false">
      <c r="B14" s="82" t="s">
        <v>54</v>
      </c>
      <c r="C14" s="93" t="s">
        <v>115</v>
      </c>
      <c r="D14" s="94" t="n">
        <v>40771</v>
      </c>
      <c r="E14" s="95" t="n">
        <f aca="false">F14/160</f>
        <v>14.5</v>
      </c>
      <c r="F14" s="96" t="n">
        <v>2320</v>
      </c>
      <c r="I14" s="99"/>
      <c r="J14" s="93"/>
      <c r="K14" s="93"/>
      <c r="L14" s="100"/>
      <c r="M14" s="101"/>
    </row>
    <row r="15" customFormat="false" ht="14.4" hidden="false" customHeight="false" outlineLevel="0" collapsed="false">
      <c r="B15" s="82" t="s">
        <v>54</v>
      </c>
      <c r="C15" s="93" t="s">
        <v>115</v>
      </c>
      <c r="D15" s="94" t="n">
        <v>40773</v>
      </c>
      <c r="E15" s="95" t="n">
        <f aca="false">F15/160</f>
        <v>6.6703125</v>
      </c>
      <c r="F15" s="96" t="n">
        <v>1067.25</v>
      </c>
      <c r="I15" s="99"/>
      <c r="J15" s="93"/>
      <c r="K15" s="93"/>
      <c r="L15" s="100"/>
      <c r="M15" s="101"/>
    </row>
    <row r="16" customFormat="false" ht="14.4" hidden="false" customHeight="false" outlineLevel="0" collapsed="false">
      <c r="B16" s="82" t="s">
        <v>116</v>
      </c>
      <c r="C16" s="93" t="s">
        <v>109</v>
      </c>
      <c r="D16" s="94" t="n">
        <v>40774</v>
      </c>
      <c r="E16" s="95" t="n">
        <f aca="false">F16/160</f>
        <v>9.43125</v>
      </c>
      <c r="F16" s="96" t="n">
        <v>1509</v>
      </c>
      <c r="I16" s="99"/>
      <c r="J16" s="93"/>
      <c r="K16" s="93"/>
      <c r="L16" s="100"/>
      <c r="M16" s="101"/>
    </row>
    <row r="17" customFormat="false" ht="14.4" hidden="false" customHeight="false" outlineLevel="0" collapsed="false">
      <c r="B17" s="82" t="s">
        <v>116</v>
      </c>
      <c r="C17" s="93" t="s">
        <v>109</v>
      </c>
      <c r="D17" s="94" t="n">
        <v>40775</v>
      </c>
      <c r="E17" s="95" t="n">
        <f aca="false">F17/160</f>
        <v>7.89375</v>
      </c>
      <c r="F17" s="96" t="n">
        <v>1263</v>
      </c>
      <c r="I17" s="99"/>
      <c r="J17" s="93"/>
      <c r="K17" s="93"/>
      <c r="L17" s="100"/>
      <c r="M17" s="101"/>
    </row>
    <row r="18" customFormat="false" ht="14.4" hidden="false" customHeight="false" outlineLevel="0" collapsed="false">
      <c r="B18" s="82" t="s">
        <v>116</v>
      </c>
      <c r="C18" s="93" t="s">
        <v>109</v>
      </c>
      <c r="D18" s="94" t="n">
        <v>40777</v>
      </c>
      <c r="E18" s="95" t="n">
        <f aca="false">F18/160</f>
        <v>13.3125</v>
      </c>
      <c r="F18" s="96" t="n">
        <v>2130</v>
      </c>
    </row>
    <row r="19" customFormat="false" ht="14.4" hidden="false" customHeight="false" outlineLevel="0" collapsed="false">
      <c r="B19" s="82" t="s">
        <v>116</v>
      </c>
      <c r="C19" s="93" t="s">
        <v>109</v>
      </c>
      <c r="D19" s="94" t="n">
        <v>40778</v>
      </c>
      <c r="E19" s="95" t="n">
        <f aca="false">F19/160</f>
        <v>8.253125</v>
      </c>
      <c r="F19" s="96" t="n">
        <v>1320.5</v>
      </c>
    </row>
    <row r="20" customFormat="false" ht="14.4" hidden="false" customHeight="false" outlineLevel="0" collapsed="false">
      <c r="B20" s="82" t="s">
        <v>117</v>
      </c>
      <c r="C20" s="93" t="s">
        <v>109</v>
      </c>
      <c r="D20" s="94" t="n">
        <v>40781</v>
      </c>
      <c r="E20" s="95" t="n">
        <f aca="false">F20/160</f>
        <v>7.628125</v>
      </c>
      <c r="F20" s="96" t="n">
        <v>1220.5</v>
      </c>
      <c r="I20" s="99"/>
    </row>
    <row r="21" customFormat="false" ht="14.4" hidden="false" customHeight="false" outlineLevel="0" collapsed="false">
      <c r="B21" s="82" t="s">
        <v>110</v>
      </c>
      <c r="C21" s="93" t="s">
        <v>111</v>
      </c>
      <c r="D21" s="94" t="n">
        <v>40797</v>
      </c>
      <c r="E21" s="95" t="n">
        <f aca="false">F21/160</f>
        <v>8.90625</v>
      </c>
      <c r="F21" s="96" t="n">
        <v>1425</v>
      </c>
    </row>
    <row r="22" customFormat="false" ht="14.4" hidden="false" customHeight="false" outlineLevel="0" collapsed="false">
      <c r="B22" s="82" t="s">
        <v>118</v>
      </c>
      <c r="C22" s="93" t="s">
        <v>111</v>
      </c>
      <c r="D22" s="94" t="n">
        <v>40803</v>
      </c>
      <c r="E22" s="95" t="n">
        <f aca="false">F22/160</f>
        <v>8.15625</v>
      </c>
      <c r="F22" s="96" t="n">
        <v>1305</v>
      </c>
    </row>
    <row r="23" customFormat="false" ht="14.4" hidden="false" customHeight="false" outlineLevel="0" collapsed="false">
      <c r="B23" s="82" t="s">
        <v>118</v>
      </c>
      <c r="C23" s="93" t="s">
        <v>111</v>
      </c>
      <c r="D23" s="94" t="n">
        <v>40810</v>
      </c>
      <c r="E23" s="95" t="n">
        <f aca="false">F23/160</f>
        <v>7.815625</v>
      </c>
      <c r="F23" s="96" t="n">
        <v>1250.5</v>
      </c>
      <c r="I23" s="99"/>
    </row>
    <row r="24" customFormat="false" ht="14.4" hidden="false" customHeight="false" outlineLevel="0" collapsed="false">
      <c r="B24" s="82" t="s">
        <v>112</v>
      </c>
      <c r="C24" s="93" t="s">
        <v>111</v>
      </c>
      <c r="D24" s="94" t="n">
        <v>40813</v>
      </c>
      <c r="E24" s="95" t="n">
        <f aca="false">F24/160</f>
        <v>7.3625</v>
      </c>
      <c r="F24" s="96" t="n">
        <v>1178</v>
      </c>
    </row>
    <row r="25" customFormat="false" ht="14.4" hidden="false" customHeight="false" outlineLevel="0" collapsed="false">
      <c r="B25" s="82" t="s">
        <v>112</v>
      </c>
      <c r="C25" s="93" t="s">
        <v>111</v>
      </c>
      <c r="D25" s="94" t="n">
        <v>40814</v>
      </c>
      <c r="E25" s="95" t="n">
        <f aca="false">F25/160</f>
        <v>7.5</v>
      </c>
      <c r="F25" s="96" t="n">
        <v>1200</v>
      </c>
    </row>
    <row r="26" customFormat="false" ht="14.4" hidden="false" customHeight="false" outlineLevel="0" collapsed="false">
      <c r="B26" s="82" t="s">
        <v>112</v>
      </c>
      <c r="C26" s="93" t="s">
        <v>111</v>
      </c>
      <c r="D26" s="94" t="n">
        <v>40849</v>
      </c>
      <c r="E26" s="95" t="n">
        <f aca="false">F26/160</f>
        <v>8.13125</v>
      </c>
      <c r="F26" s="96" t="n">
        <v>1301</v>
      </c>
      <c r="I26" s="99"/>
    </row>
    <row r="27" customFormat="false" ht="14.4" hidden="false" customHeight="false" outlineLevel="0" collapsed="false">
      <c r="B27" s="82" t="s">
        <v>119</v>
      </c>
      <c r="C27" s="93" t="s">
        <v>114</v>
      </c>
      <c r="D27" s="94" t="n">
        <v>40851</v>
      </c>
      <c r="E27" s="95" t="n">
        <f aca="false">F27/160</f>
        <v>8.159375</v>
      </c>
      <c r="F27" s="96" t="n">
        <v>1305.5</v>
      </c>
    </row>
    <row r="28" customFormat="false" ht="14.4" hidden="false" customHeight="false" outlineLevel="0" collapsed="false">
      <c r="B28" s="82" t="s">
        <v>52</v>
      </c>
      <c r="C28" s="93" t="s">
        <v>114</v>
      </c>
      <c r="D28" s="94" t="n">
        <v>40858</v>
      </c>
      <c r="E28" s="95" t="n">
        <f aca="false">F28/160</f>
        <v>7.50625</v>
      </c>
      <c r="F28" s="96" t="n">
        <v>1201</v>
      </c>
    </row>
    <row r="29" customFormat="false" ht="14.4" hidden="false" customHeight="false" outlineLevel="0" collapsed="false">
      <c r="B29" s="82" t="s">
        <v>47</v>
      </c>
      <c r="C29" s="93" t="s">
        <v>114</v>
      </c>
      <c r="D29" s="94" t="n">
        <v>40862</v>
      </c>
      <c r="E29" s="95" t="n">
        <f aca="false">F29/160</f>
        <v>9.375</v>
      </c>
      <c r="F29" s="96" t="n">
        <v>1500</v>
      </c>
      <c r="I29" s="99"/>
    </row>
    <row r="30" customFormat="false" ht="14.4" hidden="false" customHeight="false" outlineLevel="0" collapsed="false">
      <c r="B30" s="82" t="s">
        <v>47</v>
      </c>
      <c r="C30" s="93" t="s">
        <v>114</v>
      </c>
      <c r="D30" s="94" t="n">
        <v>40863</v>
      </c>
      <c r="E30" s="95" t="n">
        <f aca="false">F30/160</f>
        <v>9.3875</v>
      </c>
      <c r="F30" s="96" t="n">
        <v>1502</v>
      </c>
    </row>
    <row r="31" customFormat="false" ht="14.4" hidden="false" customHeight="false" outlineLevel="0" collapsed="false">
      <c r="B31" s="82" t="s">
        <v>47</v>
      </c>
      <c r="C31" s="93" t="s">
        <v>114</v>
      </c>
      <c r="D31" s="94" t="n">
        <v>40864</v>
      </c>
      <c r="E31" s="95" t="n">
        <f aca="false">F31/160</f>
        <v>6.803125</v>
      </c>
      <c r="F31" s="96" t="n">
        <v>1088.5</v>
      </c>
    </row>
    <row r="32" customFormat="false" ht="14.4" hidden="false" customHeight="false" outlineLevel="0" collapsed="false">
      <c r="B32" s="82" t="s">
        <v>113</v>
      </c>
      <c r="C32" s="93" t="s">
        <v>114</v>
      </c>
      <c r="D32" s="94" t="n">
        <v>40870</v>
      </c>
      <c r="E32" s="95" t="n">
        <f aca="false">F32/160</f>
        <v>17.5</v>
      </c>
      <c r="F32" s="96" t="n">
        <v>2800</v>
      </c>
      <c r="I32" s="99"/>
    </row>
    <row r="33" customFormat="false" ht="14.4" hidden="false" customHeight="false" outlineLevel="0" collapsed="false">
      <c r="B33" s="82" t="s">
        <v>113</v>
      </c>
      <c r="C33" s="93" t="s">
        <v>114</v>
      </c>
      <c r="D33" s="94" t="n">
        <v>40871</v>
      </c>
      <c r="E33" s="95" t="n">
        <f aca="false">F33/160</f>
        <v>7.2015625</v>
      </c>
      <c r="F33" s="96" t="n">
        <v>1152.25</v>
      </c>
    </row>
    <row r="34" customFormat="false" ht="14.4" hidden="false" customHeight="false" outlineLevel="0" collapsed="false">
      <c r="B34" s="82" t="s">
        <v>48</v>
      </c>
      <c r="C34" s="93" t="s">
        <v>115</v>
      </c>
      <c r="D34" s="94" t="n">
        <v>41125</v>
      </c>
      <c r="E34" s="95" t="n">
        <f aca="false">F34/160</f>
        <v>6.034375</v>
      </c>
      <c r="F34" s="96" t="n">
        <v>965.499999999999</v>
      </c>
    </row>
    <row r="35" customFormat="false" ht="14.4" hidden="false" customHeight="false" outlineLevel="0" collapsed="false">
      <c r="B35" s="82" t="s">
        <v>48</v>
      </c>
      <c r="C35" s="93" t="s">
        <v>115</v>
      </c>
      <c r="D35" s="94" t="n">
        <v>41126</v>
      </c>
      <c r="E35" s="95" t="n">
        <f aca="false">F35/160</f>
        <v>6.09375</v>
      </c>
      <c r="F35" s="96" t="n">
        <v>975</v>
      </c>
    </row>
    <row r="36" customFormat="false" ht="14.4" hidden="false" customHeight="false" outlineLevel="0" collapsed="false">
      <c r="B36" s="82" t="s">
        <v>48</v>
      </c>
      <c r="C36" s="93" t="s">
        <v>115</v>
      </c>
      <c r="D36" s="94" t="n">
        <v>41130</v>
      </c>
      <c r="E36" s="95" t="n">
        <f aca="false">F36/160</f>
        <v>6.25</v>
      </c>
      <c r="F36" s="96" t="n">
        <v>1000</v>
      </c>
    </row>
    <row r="37" customFormat="false" ht="14.4" hidden="false" customHeight="false" outlineLevel="0" collapsed="false">
      <c r="B37" s="82" t="s">
        <v>54</v>
      </c>
      <c r="C37" s="93" t="s">
        <v>115</v>
      </c>
      <c r="D37" s="94" t="n">
        <v>41138</v>
      </c>
      <c r="E37" s="95" t="n">
        <f aca="false">F37/160</f>
        <v>5.925</v>
      </c>
      <c r="F37" s="96" t="n">
        <v>948</v>
      </c>
    </row>
    <row r="38" customFormat="false" ht="14.4" hidden="false" customHeight="false" outlineLevel="0" collapsed="false">
      <c r="B38" s="82" t="s">
        <v>116</v>
      </c>
      <c r="C38" s="93" t="s">
        <v>109</v>
      </c>
      <c r="D38" s="94" t="n">
        <v>41142</v>
      </c>
      <c r="E38" s="95" t="n">
        <f aca="false">F38/160</f>
        <v>6.175</v>
      </c>
      <c r="F38" s="96" t="n">
        <v>988</v>
      </c>
    </row>
    <row r="39" customFormat="false" ht="14.4" hidden="false" customHeight="false" outlineLevel="0" collapsed="false">
      <c r="B39" s="82" t="s">
        <v>117</v>
      </c>
      <c r="C39" s="93" t="s">
        <v>109</v>
      </c>
      <c r="D39" s="94" t="n">
        <v>41146</v>
      </c>
      <c r="E39" s="95" t="n">
        <f aca="false">F39/160</f>
        <v>6.3</v>
      </c>
      <c r="F39" s="96" t="n">
        <v>1008</v>
      </c>
    </row>
    <row r="40" customFormat="false" ht="14.4" hidden="false" customHeight="false" outlineLevel="0" collapsed="false">
      <c r="B40" s="82" t="s">
        <v>117</v>
      </c>
      <c r="C40" s="93" t="s">
        <v>109</v>
      </c>
      <c r="D40" s="94" t="n">
        <v>41148</v>
      </c>
      <c r="E40" s="95" t="n">
        <f aca="false">F40/160</f>
        <v>6.090625</v>
      </c>
      <c r="F40" s="96" t="n">
        <v>974.5</v>
      </c>
    </row>
    <row r="41" customFormat="false" ht="14.4" hidden="false" customHeight="false" outlineLevel="0" collapsed="false">
      <c r="B41" s="82" t="s">
        <v>108</v>
      </c>
      <c r="C41" s="93" t="s">
        <v>109</v>
      </c>
      <c r="D41" s="94" t="n">
        <v>41153</v>
      </c>
      <c r="E41" s="95" t="n">
        <f aca="false">F41/160</f>
        <v>6.35625</v>
      </c>
      <c r="F41" s="96" t="n">
        <v>1017</v>
      </c>
    </row>
    <row r="42" customFormat="false" ht="14.4" hidden="false" customHeight="false" outlineLevel="0" collapsed="false">
      <c r="B42" s="82" t="s">
        <v>108</v>
      </c>
      <c r="C42" s="93" t="s">
        <v>109</v>
      </c>
      <c r="D42" s="94" t="n">
        <v>41155</v>
      </c>
      <c r="E42" s="95" t="n">
        <f aca="false">F42/160</f>
        <v>6.0625</v>
      </c>
      <c r="F42" s="96" t="n">
        <v>970</v>
      </c>
    </row>
    <row r="43" customFormat="false" ht="14.4" hidden="false" customHeight="false" outlineLevel="0" collapsed="false">
      <c r="B43" s="82" t="s">
        <v>110</v>
      </c>
      <c r="C43" s="93" t="s">
        <v>111</v>
      </c>
      <c r="D43" s="94" t="n">
        <v>41164</v>
      </c>
      <c r="E43" s="95" t="n">
        <f aca="false">F43/160</f>
        <v>6.5375</v>
      </c>
      <c r="F43" s="96" t="n">
        <v>1046</v>
      </c>
    </row>
    <row r="44" customFormat="false" ht="14.4" hidden="false" customHeight="false" outlineLevel="0" collapsed="false">
      <c r="B44" s="82" t="s">
        <v>118</v>
      </c>
      <c r="C44" s="93" t="s">
        <v>111</v>
      </c>
      <c r="D44" s="94" t="n">
        <v>41171</v>
      </c>
      <c r="E44" s="95" t="n">
        <f aca="false">F44/160</f>
        <v>6.1375</v>
      </c>
      <c r="F44" s="96" t="n">
        <v>982</v>
      </c>
    </row>
    <row r="45" customFormat="false" ht="14.4" hidden="false" customHeight="false" outlineLevel="0" collapsed="false">
      <c r="B45" s="82" t="s">
        <v>118</v>
      </c>
      <c r="C45" s="93" t="s">
        <v>111</v>
      </c>
      <c r="D45" s="94" t="n">
        <v>41175</v>
      </c>
      <c r="E45" s="95" t="n">
        <f aca="false">F45/160</f>
        <v>6.00625</v>
      </c>
      <c r="F45" s="96" t="n">
        <v>960.999999999999</v>
      </c>
    </row>
    <row r="46" customFormat="false" ht="14.4" hidden="false" customHeight="false" outlineLevel="0" collapsed="false">
      <c r="B46" s="82" t="s">
        <v>119</v>
      </c>
      <c r="C46" s="93" t="s">
        <v>114</v>
      </c>
      <c r="D46" s="94" t="n">
        <v>41248</v>
      </c>
      <c r="E46" s="95" t="n">
        <f aca="false">F46/160</f>
        <v>5.96875</v>
      </c>
      <c r="F46" s="96" t="n">
        <v>955</v>
      </c>
    </row>
    <row r="47" customFormat="false" ht="14.4" hidden="false" customHeight="false" outlineLevel="0" collapsed="false">
      <c r="B47" s="82" t="s">
        <v>52</v>
      </c>
      <c r="C47" s="93" t="s">
        <v>114</v>
      </c>
      <c r="D47" s="94" t="n">
        <v>41255</v>
      </c>
      <c r="E47" s="95" t="n">
        <f aca="false">F47/160</f>
        <v>6.4328125</v>
      </c>
      <c r="F47" s="96" t="n">
        <v>1029.25</v>
      </c>
    </row>
    <row r="48" customFormat="false" ht="14.4" hidden="false" customHeight="false" outlineLevel="0" collapsed="false">
      <c r="B48" s="82" t="s">
        <v>47</v>
      </c>
      <c r="C48" s="93" t="s">
        <v>114</v>
      </c>
      <c r="D48" s="94" t="n">
        <v>41256</v>
      </c>
      <c r="E48" s="95" t="n">
        <f aca="false">F48/160</f>
        <v>6.621875</v>
      </c>
      <c r="F48" s="96" t="n">
        <v>1059.5</v>
      </c>
    </row>
    <row r="49" customFormat="false" ht="14.4" hidden="false" customHeight="false" outlineLevel="0" collapsed="false">
      <c r="B49" s="82" t="s">
        <v>48</v>
      </c>
      <c r="C49" s="93" t="s">
        <v>115</v>
      </c>
      <c r="D49" s="94" t="n">
        <v>41492</v>
      </c>
      <c r="E49" s="95" t="n">
        <f aca="false">F49/160</f>
        <v>3.78125</v>
      </c>
      <c r="F49" s="96" t="n">
        <v>605</v>
      </c>
    </row>
    <row r="50" customFormat="false" ht="14.4" hidden="false" customHeight="false" outlineLevel="0" collapsed="false">
      <c r="B50" s="82" t="s">
        <v>48</v>
      </c>
      <c r="C50" s="93" t="s">
        <v>115</v>
      </c>
      <c r="D50" s="94" t="n">
        <v>41493</v>
      </c>
      <c r="E50" s="95" t="n">
        <f aca="false">F50/160</f>
        <v>4.5125</v>
      </c>
      <c r="F50" s="96" t="n">
        <v>722</v>
      </c>
    </row>
    <row r="51" customFormat="false" ht="14.4" hidden="false" customHeight="false" outlineLevel="0" collapsed="false">
      <c r="B51" s="82" t="s">
        <v>54</v>
      </c>
      <c r="C51" s="93" t="s">
        <v>115</v>
      </c>
      <c r="D51" s="94" t="n">
        <v>41497</v>
      </c>
      <c r="E51" s="95" t="n">
        <f aca="false">F51/160</f>
        <v>5.46875</v>
      </c>
      <c r="F51" s="96" t="n">
        <v>875</v>
      </c>
    </row>
    <row r="52" customFormat="false" ht="14.4" hidden="false" customHeight="false" outlineLevel="0" collapsed="false">
      <c r="B52" s="82" t="s">
        <v>54</v>
      </c>
      <c r="C52" s="93" t="s">
        <v>115</v>
      </c>
      <c r="D52" s="94" t="n">
        <v>41498</v>
      </c>
      <c r="E52" s="95" t="n">
        <f aca="false">F52/160</f>
        <v>5.9015625</v>
      </c>
      <c r="F52" s="96" t="n">
        <v>944.25</v>
      </c>
    </row>
    <row r="53" customFormat="false" ht="14.4" hidden="false" customHeight="false" outlineLevel="0" collapsed="false">
      <c r="B53" s="82" t="s">
        <v>54</v>
      </c>
      <c r="C53" s="93" t="s">
        <v>115</v>
      </c>
      <c r="D53" s="94" t="n">
        <v>41499</v>
      </c>
      <c r="E53" s="95" t="n">
        <f aca="false">F53/160</f>
        <v>5.503125</v>
      </c>
      <c r="F53" s="96" t="n">
        <v>880.5</v>
      </c>
    </row>
    <row r="54" customFormat="false" ht="14.4" hidden="false" customHeight="false" outlineLevel="0" collapsed="false">
      <c r="B54" s="82" t="s">
        <v>54</v>
      </c>
      <c r="C54" s="93" t="s">
        <v>115</v>
      </c>
      <c r="D54" s="94" t="n">
        <v>41499</v>
      </c>
      <c r="E54" s="95" t="n">
        <f aca="false">F54/160</f>
        <v>3.8125</v>
      </c>
      <c r="F54" s="96" t="n">
        <v>610</v>
      </c>
    </row>
    <row r="55" customFormat="false" ht="14.4" hidden="false" customHeight="false" outlineLevel="0" collapsed="false">
      <c r="B55" s="82" t="s">
        <v>54</v>
      </c>
      <c r="C55" s="93" t="s">
        <v>115</v>
      </c>
      <c r="D55" s="94" t="n">
        <v>41500</v>
      </c>
      <c r="E55" s="95" t="n">
        <f aca="false">F55/160</f>
        <v>4.3640625</v>
      </c>
      <c r="F55" s="96" t="n">
        <v>698.25</v>
      </c>
    </row>
    <row r="56" customFormat="false" ht="14.4" hidden="false" customHeight="false" outlineLevel="0" collapsed="false">
      <c r="B56" s="82" t="s">
        <v>54</v>
      </c>
      <c r="C56" s="93" t="s">
        <v>115</v>
      </c>
      <c r="D56" s="94" t="n">
        <v>41501</v>
      </c>
      <c r="E56" s="95" t="n">
        <f aca="false">F56/160</f>
        <v>3.965625</v>
      </c>
      <c r="F56" s="96" t="n">
        <v>634.5</v>
      </c>
    </row>
    <row r="57" customFormat="false" ht="14.4" hidden="false" customHeight="false" outlineLevel="0" collapsed="false">
      <c r="B57" s="82" t="s">
        <v>117</v>
      </c>
      <c r="C57" s="93" t="s">
        <v>109</v>
      </c>
      <c r="D57" s="94" t="n">
        <v>41510</v>
      </c>
      <c r="E57" s="95" t="n">
        <f aca="false">F57/160</f>
        <v>5.3703125</v>
      </c>
      <c r="F57" s="96" t="n">
        <v>859.25</v>
      </c>
    </row>
    <row r="58" customFormat="false" ht="14.4" hidden="false" customHeight="false" outlineLevel="0" collapsed="false">
      <c r="B58" s="82" t="s">
        <v>117</v>
      </c>
      <c r="C58" s="93" t="s">
        <v>109</v>
      </c>
      <c r="D58" s="94" t="n">
        <v>41514</v>
      </c>
      <c r="E58" s="95" t="n">
        <f aca="false">F58/160</f>
        <v>4.7625</v>
      </c>
      <c r="F58" s="96" t="n">
        <v>762</v>
      </c>
    </row>
    <row r="59" customFormat="false" ht="14.4" hidden="false" customHeight="false" outlineLevel="0" collapsed="false">
      <c r="B59" s="82" t="s">
        <v>117</v>
      </c>
      <c r="C59" s="93" t="s">
        <v>109</v>
      </c>
      <c r="D59" s="94" t="n">
        <v>41515</v>
      </c>
      <c r="E59" s="95" t="n">
        <f aca="false">F59/160</f>
        <v>3.8328125</v>
      </c>
      <c r="F59" s="96" t="n">
        <v>613.25</v>
      </c>
    </row>
    <row r="60" customFormat="false" ht="14.4" hidden="false" customHeight="false" outlineLevel="0" collapsed="false">
      <c r="B60" s="82" t="s">
        <v>108</v>
      </c>
      <c r="C60" s="93" t="s">
        <v>109</v>
      </c>
      <c r="D60" s="94" t="n">
        <v>41516</v>
      </c>
      <c r="E60" s="95" t="n">
        <f aca="false">F60/160</f>
        <v>3.825</v>
      </c>
      <c r="F60" s="96" t="n">
        <v>612</v>
      </c>
    </row>
    <row r="61" customFormat="false" ht="14.4" hidden="false" customHeight="false" outlineLevel="0" collapsed="false">
      <c r="B61" s="82" t="s">
        <v>110</v>
      </c>
      <c r="C61" s="93" t="s">
        <v>111</v>
      </c>
      <c r="D61" s="94" t="n">
        <v>41521</v>
      </c>
      <c r="E61" s="95" t="n">
        <f aca="false">F61/160</f>
        <v>5.76875</v>
      </c>
      <c r="F61" s="96" t="n">
        <v>923</v>
      </c>
    </row>
    <row r="62" customFormat="false" ht="14.4" hidden="false" customHeight="false" outlineLevel="0" collapsed="false">
      <c r="B62" s="82" t="s">
        <v>110</v>
      </c>
      <c r="C62" s="93" t="s">
        <v>111</v>
      </c>
      <c r="D62" s="94" t="n">
        <v>41522</v>
      </c>
      <c r="E62" s="95" t="n">
        <f aca="false">F62/160</f>
        <v>4.5734375</v>
      </c>
      <c r="F62" s="96" t="n">
        <v>731.75</v>
      </c>
    </row>
    <row r="63" customFormat="false" ht="14.4" hidden="false" customHeight="false" outlineLevel="0" collapsed="false">
      <c r="B63" s="82" t="s">
        <v>110</v>
      </c>
      <c r="C63" s="93" t="s">
        <v>111</v>
      </c>
      <c r="D63" s="94" t="n">
        <v>41524</v>
      </c>
      <c r="E63" s="95" t="n">
        <f aca="false">F63/160</f>
        <v>3.3015625</v>
      </c>
      <c r="F63" s="96" t="n">
        <v>528.25</v>
      </c>
    </row>
    <row r="64" customFormat="false" ht="14.4" hidden="false" customHeight="false" outlineLevel="0" collapsed="false">
      <c r="B64" s="82" t="s">
        <v>110</v>
      </c>
      <c r="C64" s="93" t="s">
        <v>111</v>
      </c>
      <c r="D64" s="94" t="n">
        <v>41525</v>
      </c>
      <c r="E64" s="95" t="n">
        <f aca="false">F64/160</f>
        <v>3.16875</v>
      </c>
      <c r="F64" s="96" t="n">
        <v>507</v>
      </c>
    </row>
    <row r="65" customFormat="false" ht="14.4" hidden="false" customHeight="false" outlineLevel="0" collapsed="false">
      <c r="B65" s="82" t="s">
        <v>110</v>
      </c>
      <c r="C65" s="93" t="s">
        <v>111</v>
      </c>
      <c r="D65" s="94" t="n">
        <v>41526</v>
      </c>
      <c r="E65" s="95" t="n">
        <f aca="false">F65/160</f>
        <v>4.23125</v>
      </c>
      <c r="F65" s="96" t="n">
        <v>677</v>
      </c>
    </row>
    <row r="66" customFormat="false" ht="14.4" hidden="false" customHeight="false" outlineLevel="0" collapsed="false">
      <c r="B66" s="82" t="s">
        <v>110</v>
      </c>
      <c r="C66" s="93" t="s">
        <v>111</v>
      </c>
      <c r="D66" s="94" t="n">
        <v>41530</v>
      </c>
      <c r="E66" s="95" t="n">
        <f aca="false">F66/160</f>
        <v>5.8125</v>
      </c>
      <c r="F66" s="96" t="n">
        <v>930</v>
      </c>
    </row>
    <row r="67" customFormat="false" ht="14.4" hidden="false" customHeight="false" outlineLevel="0" collapsed="false">
      <c r="B67" s="82" t="s">
        <v>110</v>
      </c>
      <c r="C67" s="93" t="s">
        <v>111</v>
      </c>
      <c r="D67" s="94" t="n">
        <v>41530</v>
      </c>
      <c r="E67" s="95" t="n">
        <f aca="false">F67/160</f>
        <v>5.475</v>
      </c>
      <c r="F67" s="96" t="n">
        <v>876</v>
      </c>
    </row>
    <row r="68" customFormat="false" ht="14.4" hidden="false" customHeight="false" outlineLevel="0" collapsed="false">
      <c r="B68" s="82" t="s">
        <v>110</v>
      </c>
      <c r="C68" s="93" t="s">
        <v>111</v>
      </c>
      <c r="D68" s="94" t="n">
        <v>41531</v>
      </c>
      <c r="E68" s="95" t="n">
        <f aca="false">F68/160</f>
        <v>5.6078125</v>
      </c>
      <c r="F68" s="96" t="n">
        <v>897.25</v>
      </c>
    </row>
    <row r="69" customFormat="false" ht="14.4" hidden="false" customHeight="false" outlineLevel="0" collapsed="false">
      <c r="B69" s="82" t="s">
        <v>110</v>
      </c>
      <c r="C69" s="93" t="s">
        <v>111</v>
      </c>
      <c r="D69" s="94" t="n">
        <v>41532</v>
      </c>
      <c r="E69" s="95" t="n">
        <f aca="false">F69/160</f>
        <v>5.3421875</v>
      </c>
      <c r="F69" s="96" t="n">
        <v>854.75</v>
      </c>
    </row>
    <row r="70" customFormat="false" ht="14.4" hidden="false" customHeight="false" outlineLevel="0" collapsed="false">
      <c r="B70" s="82" t="s">
        <v>118</v>
      </c>
      <c r="C70" s="93" t="s">
        <v>111</v>
      </c>
      <c r="D70" s="94" t="n">
        <v>41533</v>
      </c>
      <c r="E70" s="95" t="n">
        <f aca="false">F70/160</f>
        <v>5.3125</v>
      </c>
      <c r="F70" s="96" t="n">
        <v>850</v>
      </c>
    </row>
    <row r="71" customFormat="false" ht="14.4" hidden="false" customHeight="false" outlineLevel="0" collapsed="false">
      <c r="B71" s="82" t="s">
        <v>118</v>
      </c>
      <c r="C71" s="93" t="s">
        <v>111</v>
      </c>
      <c r="D71" s="94" t="n">
        <v>41535</v>
      </c>
      <c r="E71" s="95" t="n">
        <f aca="false">F71/160</f>
        <v>5.2375</v>
      </c>
      <c r="F71" s="96" t="n">
        <v>837.999999999999</v>
      </c>
    </row>
    <row r="72" customFormat="false" ht="14.4" hidden="false" customHeight="false" outlineLevel="0" collapsed="false">
      <c r="B72" s="82" t="s">
        <v>118</v>
      </c>
      <c r="C72" s="93" t="s">
        <v>111</v>
      </c>
      <c r="D72" s="94" t="n">
        <v>41537</v>
      </c>
      <c r="E72" s="95" t="n">
        <f aca="false">F72/160</f>
        <v>3.69999999999999</v>
      </c>
      <c r="F72" s="96" t="n">
        <v>591.999999999999</v>
      </c>
    </row>
    <row r="73" customFormat="false" ht="14.4" hidden="false" customHeight="false" outlineLevel="0" collapsed="false">
      <c r="B73" s="82" t="s">
        <v>118</v>
      </c>
      <c r="C73" s="93" t="s">
        <v>111</v>
      </c>
      <c r="D73" s="94" t="n">
        <v>41538</v>
      </c>
      <c r="E73" s="95" t="n">
        <f aca="false">F73/160</f>
        <v>3.4375</v>
      </c>
      <c r="F73" s="96" t="n">
        <v>550</v>
      </c>
    </row>
    <row r="74" customFormat="false" ht="14.4" hidden="false" customHeight="false" outlineLevel="0" collapsed="false">
      <c r="B74" s="82" t="s">
        <v>118</v>
      </c>
      <c r="C74" s="93" t="s">
        <v>111</v>
      </c>
      <c r="D74" s="94" t="n">
        <v>41539</v>
      </c>
      <c r="E74" s="95" t="n">
        <f aca="false">F74/160</f>
        <v>4.746875</v>
      </c>
      <c r="F74" s="96" t="n">
        <v>759.5</v>
      </c>
    </row>
    <row r="75" customFormat="false" ht="14.4" hidden="false" customHeight="false" outlineLevel="0" collapsed="false">
      <c r="B75" s="82" t="s">
        <v>112</v>
      </c>
      <c r="C75" s="93" t="s">
        <v>111</v>
      </c>
      <c r="D75" s="94" t="n">
        <v>41542</v>
      </c>
      <c r="E75" s="95" t="n">
        <f aca="false">F75/160</f>
        <v>4.8390625</v>
      </c>
      <c r="F75" s="96" t="n">
        <v>774.25</v>
      </c>
    </row>
    <row r="76" customFormat="false" ht="14.4" hidden="false" customHeight="false" outlineLevel="0" collapsed="false">
      <c r="B76" s="82" t="s">
        <v>112</v>
      </c>
      <c r="C76" s="93" t="s">
        <v>111</v>
      </c>
      <c r="D76" s="94" t="n">
        <v>41543</v>
      </c>
      <c r="E76" s="95" t="n">
        <f aca="false">F76/160</f>
        <v>4.70625</v>
      </c>
      <c r="F76" s="96" t="n">
        <v>753</v>
      </c>
    </row>
    <row r="77" customFormat="false" ht="14.4" hidden="false" customHeight="false" outlineLevel="0" collapsed="false">
      <c r="B77" s="82" t="s">
        <v>112</v>
      </c>
      <c r="C77" s="93" t="s">
        <v>111</v>
      </c>
      <c r="D77" s="94" t="n">
        <v>41546</v>
      </c>
      <c r="E77" s="95" t="n">
        <f aca="false">F77/160</f>
        <v>4.175</v>
      </c>
      <c r="F77" s="96" t="n">
        <v>668</v>
      </c>
    </row>
    <row r="78" customFormat="false" ht="14.4" hidden="false" customHeight="false" outlineLevel="0" collapsed="false">
      <c r="B78" s="82" t="s">
        <v>112</v>
      </c>
      <c r="C78" s="93" t="s">
        <v>111</v>
      </c>
      <c r="D78" s="94" t="n">
        <v>41548</v>
      </c>
      <c r="E78" s="95" t="n">
        <f aca="false">F78/160</f>
        <v>5.825</v>
      </c>
      <c r="F78" s="96" t="n">
        <v>932</v>
      </c>
    </row>
    <row r="79" customFormat="false" ht="14.4" hidden="false" customHeight="false" outlineLevel="0" collapsed="false">
      <c r="B79" s="82" t="s">
        <v>119</v>
      </c>
      <c r="C79" s="93" t="s">
        <v>114</v>
      </c>
      <c r="D79" s="94" t="n">
        <v>41553</v>
      </c>
      <c r="E79" s="95" t="n">
        <f aca="false">F79/160</f>
        <v>5.80625</v>
      </c>
      <c r="F79" s="96" t="n">
        <v>929</v>
      </c>
    </row>
    <row r="80" customFormat="false" ht="14.4" hidden="false" customHeight="false" outlineLevel="0" collapsed="false">
      <c r="B80" s="82" t="s">
        <v>119</v>
      </c>
      <c r="C80" s="93" t="s">
        <v>114</v>
      </c>
      <c r="D80" s="94" t="n">
        <v>41554</v>
      </c>
      <c r="E80" s="95" t="n">
        <f aca="false">F80/160</f>
        <v>4.0046875</v>
      </c>
      <c r="F80" s="96" t="n">
        <v>640.75</v>
      </c>
    </row>
    <row r="81" customFormat="false" ht="14.4" hidden="false" customHeight="false" outlineLevel="0" collapsed="false">
      <c r="B81" s="82" t="s">
        <v>52</v>
      </c>
      <c r="C81" s="93" t="s">
        <v>114</v>
      </c>
      <c r="D81" s="94" t="n">
        <v>41555</v>
      </c>
      <c r="E81" s="95" t="n">
        <f aca="false">F81/160</f>
        <v>4.971875</v>
      </c>
      <c r="F81" s="96" t="n">
        <v>795.5</v>
      </c>
    </row>
    <row r="82" customFormat="false" ht="14.4" hidden="false" customHeight="false" outlineLevel="0" collapsed="false">
      <c r="B82" s="82" t="s">
        <v>52</v>
      </c>
      <c r="C82" s="93" t="s">
        <v>114</v>
      </c>
      <c r="D82" s="94" t="n">
        <v>41556</v>
      </c>
      <c r="E82" s="95" t="n">
        <f aca="false">F82/160</f>
        <v>4.440625</v>
      </c>
      <c r="F82" s="96" t="n">
        <v>710.5</v>
      </c>
    </row>
    <row r="83" customFormat="false" ht="14.4" hidden="false" customHeight="false" outlineLevel="0" collapsed="false">
      <c r="B83" s="82" t="s">
        <v>113</v>
      </c>
      <c r="C83" s="93" t="s">
        <v>114</v>
      </c>
      <c r="D83" s="94" t="n">
        <v>41567</v>
      </c>
      <c r="E83" s="95" t="n">
        <f aca="false">F83/160</f>
        <v>3.434375</v>
      </c>
      <c r="F83" s="96" t="n">
        <v>549.5</v>
      </c>
    </row>
    <row r="84" customFormat="false" ht="14.4" hidden="false" customHeight="false" outlineLevel="0" collapsed="false">
      <c r="B84" s="82" t="s">
        <v>52</v>
      </c>
      <c r="C84" s="93" t="s">
        <v>114</v>
      </c>
      <c r="D84" s="94" t="n">
        <v>41590</v>
      </c>
      <c r="E84" s="95" t="n">
        <f aca="false">F84/160</f>
        <v>4.81875</v>
      </c>
      <c r="F84" s="96" t="n">
        <v>771</v>
      </c>
    </row>
    <row r="85" customFormat="false" ht="14.4" hidden="false" customHeight="false" outlineLevel="0" collapsed="false">
      <c r="B85" s="82" t="s">
        <v>113</v>
      </c>
      <c r="C85" s="93" t="s">
        <v>114</v>
      </c>
      <c r="D85" s="94" t="n">
        <v>41599</v>
      </c>
      <c r="E85" s="95" t="n">
        <f aca="false">F85/160</f>
        <v>5.740625</v>
      </c>
      <c r="F85" s="96" t="n">
        <v>918.5</v>
      </c>
    </row>
    <row r="86" customFormat="false" ht="14.4" hidden="false" customHeight="false" outlineLevel="0" collapsed="false">
      <c r="B86" s="82" t="s">
        <v>113</v>
      </c>
      <c r="C86" s="93" t="s">
        <v>114</v>
      </c>
      <c r="D86" s="94" t="n">
        <v>41600</v>
      </c>
      <c r="E86" s="95" t="n">
        <f aca="false">F86/160</f>
        <v>5.209375</v>
      </c>
      <c r="F86" s="96" t="n">
        <v>833.5</v>
      </c>
    </row>
    <row r="87" customFormat="false" ht="14.4" hidden="false" customHeight="false" outlineLevel="0" collapsed="false">
      <c r="B87" s="82" t="s">
        <v>112</v>
      </c>
      <c r="C87" s="93" t="s">
        <v>111</v>
      </c>
      <c r="D87" s="94" t="n">
        <v>41611</v>
      </c>
      <c r="E87" s="95" t="n">
        <f aca="false">F87/160</f>
        <v>4.94375</v>
      </c>
      <c r="F87" s="96" t="n">
        <v>791</v>
      </c>
    </row>
    <row r="88" customFormat="false" ht="14.4" hidden="false" customHeight="false" outlineLevel="0" collapsed="false">
      <c r="B88" s="82" t="s">
        <v>47</v>
      </c>
      <c r="C88" s="93" t="s">
        <v>114</v>
      </c>
      <c r="D88" s="94" t="n">
        <v>41622</v>
      </c>
      <c r="E88" s="95" t="n">
        <f aca="false">F88/160</f>
        <v>4.496875</v>
      </c>
      <c r="F88" s="96" t="n">
        <v>719.499999999999</v>
      </c>
    </row>
    <row r="89" customFormat="false" ht="14.4" hidden="false" customHeight="false" outlineLevel="0" collapsed="false">
      <c r="B89" s="82" t="s">
        <v>113</v>
      </c>
      <c r="C89" s="93" t="s">
        <v>114</v>
      </c>
      <c r="D89" s="94" t="n">
        <v>41627</v>
      </c>
      <c r="E89" s="95" t="n">
        <f aca="false">F89/160</f>
        <v>4.8953125</v>
      </c>
      <c r="F89" s="96" t="n">
        <v>783.25</v>
      </c>
    </row>
    <row r="90" customFormat="false" ht="15" hidden="false" customHeight="false" outlineLevel="0" collapsed="false">
      <c r="B90" s="102"/>
      <c r="C90" s="102"/>
      <c r="D90" s="102"/>
      <c r="E90" s="102"/>
      <c r="F90" s="102"/>
    </row>
    <row r="91" customFormat="false" ht="15" hidden="false" customHeight="false" outlineLevel="0" collapsed="false">
      <c r="B91" s="102"/>
      <c r="C91" s="102"/>
      <c r="D91" s="102"/>
      <c r="E91" s="102"/>
      <c r="F91" s="102"/>
    </row>
    <row r="92" customFormat="false" ht="15" hidden="false" customHeight="false" outlineLevel="0" collapsed="false">
      <c r="B92" s="102"/>
      <c r="C92" s="102"/>
      <c r="D92" s="102"/>
      <c r="E92" s="102"/>
      <c r="F92" s="102"/>
    </row>
    <row r="93" customFormat="false" ht="15" hidden="false" customHeight="false" outlineLevel="0" collapsed="false">
      <c r="B93" s="102"/>
      <c r="C93" s="102"/>
      <c r="D93" s="102"/>
      <c r="E93" s="102"/>
      <c r="F93" s="102"/>
    </row>
    <row r="94" customFormat="false" ht="15" hidden="false" customHeight="false" outlineLevel="0" collapsed="false">
      <c r="B94" s="102"/>
      <c r="C94" s="102"/>
      <c r="D94" s="102"/>
      <c r="E94" s="102"/>
      <c r="F94" s="102"/>
    </row>
    <row r="95" customFormat="false" ht="15" hidden="false" customHeight="false" outlineLevel="0" collapsed="false">
      <c r="B95" s="102"/>
      <c r="C95" s="102"/>
      <c r="D95" s="102"/>
      <c r="E95" s="102"/>
      <c r="F95" s="102"/>
    </row>
    <row r="96" customFormat="false" ht="15" hidden="false" customHeight="false" outlineLevel="0" collapsed="false">
      <c r="B96" s="102"/>
      <c r="C96" s="102"/>
      <c r="D96" s="102"/>
      <c r="E96" s="102"/>
      <c r="F96" s="102"/>
    </row>
    <row r="97" customFormat="false" ht="15" hidden="false" customHeight="false" outlineLevel="0" collapsed="false">
      <c r="B97" s="102"/>
      <c r="C97" s="102"/>
      <c r="D97" s="102"/>
      <c r="E97" s="102"/>
      <c r="F97" s="102"/>
    </row>
    <row r="98" customFormat="false" ht="15" hidden="false" customHeight="false" outlineLevel="0" collapsed="false">
      <c r="B98" s="102"/>
      <c r="C98" s="102"/>
      <c r="D98" s="102"/>
      <c r="E98" s="102"/>
      <c r="F98" s="102"/>
    </row>
    <row r="99" customFormat="false" ht="15" hidden="false" customHeight="false" outlineLevel="0" collapsed="false">
      <c r="B99" s="102"/>
      <c r="C99" s="102"/>
      <c r="D99" s="102"/>
      <c r="E99" s="102"/>
      <c r="F99" s="102"/>
    </row>
    <row r="100" customFormat="false" ht="15" hidden="false" customHeight="false" outlineLevel="0" collapsed="false">
      <c r="B100" s="102"/>
      <c r="C100" s="102"/>
      <c r="D100" s="102"/>
      <c r="E100" s="102"/>
      <c r="F100" s="102"/>
    </row>
    <row r="101" customFormat="false" ht="15" hidden="false" customHeight="false" outlineLevel="0" collapsed="false">
      <c r="B101" s="102"/>
      <c r="C101" s="102"/>
      <c r="D101" s="102"/>
      <c r="E101" s="102"/>
      <c r="F101" s="102"/>
    </row>
    <row r="102" customFormat="false" ht="15" hidden="false" customHeight="false" outlineLevel="0" collapsed="false">
      <c r="B102" s="102"/>
      <c r="C102" s="102"/>
      <c r="D102" s="102"/>
      <c r="E102" s="102"/>
      <c r="F102" s="102"/>
    </row>
    <row r="103" customFormat="false" ht="15" hidden="false" customHeight="false" outlineLevel="0" collapsed="false">
      <c r="B103" s="102"/>
      <c r="C103" s="102"/>
      <c r="D103" s="102"/>
      <c r="E103" s="102"/>
      <c r="F103" s="102"/>
    </row>
    <row r="104" customFormat="false" ht="15" hidden="false" customHeight="false" outlineLevel="0" collapsed="false">
      <c r="B104" s="102"/>
      <c r="C104" s="102"/>
      <c r="D104" s="102"/>
      <c r="E104" s="102"/>
      <c r="F104" s="102"/>
    </row>
    <row r="105" customFormat="false" ht="15" hidden="false" customHeight="false" outlineLevel="0" collapsed="false">
      <c r="B105" s="102"/>
      <c r="C105" s="102"/>
      <c r="D105" s="102"/>
      <c r="E105" s="102"/>
      <c r="F105" s="102"/>
    </row>
    <row r="106" customFormat="false" ht="15" hidden="false" customHeight="false" outlineLevel="0" collapsed="false">
      <c r="B106" s="102"/>
      <c r="C106" s="102"/>
      <c r="D106" s="102"/>
      <c r="E106" s="102"/>
      <c r="F106" s="102"/>
    </row>
    <row r="107" customFormat="false" ht="15" hidden="false" customHeight="false" outlineLevel="0" collapsed="false">
      <c r="B107" s="102"/>
      <c r="C107" s="102"/>
      <c r="D107" s="102"/>
      <c r="E107" s="102"/>
      <c r="F107" s="102"/>
    </row>
    <row r="108" customFormat="false" ht="15" hidden="false" customHeight="false" outlineLevel="0" collapsed="false">
      <c r="B108" s="102"/>
      <c r="C108" s="102"/>
      <c r="D108" s="102"/>
      <c r="E108" s="102"/>
      <c r="F108" s="102"/>
    </row>
    <row r="109" customFormat="false" ht="15" hidden="false" customHeight="false" outlineLevel="0" collapsed="false">
      <c r="B109" s="102"/>
      <c r="C109" s="102"/>
      <c r="D109" s="102"/>
      <c r="E109" s="102"/>
      <c r="F109" s="102"/>
    </row>
    <row r="110" customFormat="false" ht="15" hidden="false" customHeight="false" outlineLevel="0" collapsed="false">
      <c r="B110" s="102"/>
      <c r="C110" s="102"/>
      <c r="D110" s="102"/>
      <c r="E110" s="102"/>
      <c r="F110" s="102"/>
    </row>
    <row r="111" customFormat="false" ht="15" hidden="false" customHeight="false" outlineLevel="0" collapsed="false">
      <c r="B111" s="102"/>
      <c r="C111" s="102"/>
      <c r="D111" s="102"/>
      <c r="E111" s="102"/>
      <c r="F111" s="102"/>
    </row>
    <row r="112" customFormat="false" ht="15" hidden="false" customHeight="false" outlineLevel="0" collapsed="false">
      <c r="B112" s="102"/>
      <c r="C112" s="102"/>
      <c r="D112" s="102"/>
      <c r="E112" s="102"/>
      <c r="F112" s="102"/>
    </row>
    <row r="113" customFormat="false" ht="15" hidden="false" customHeight="false" outlineLevel="0" collapsed="false">
      <c r="B113" s="102"/>
      <c r="C113" s="102"/>
      <c r="D113" s="102"/>
      <c r="E113" s="102"/>
      <c r="F113" s="102"/>
    </row>
    <row r="114" customFormat="false" ht="15" hidden="false" customHeight="false" outlineLevel="0" collapsed="false">
      <c r="B114" s="102"/>
      <c r="C114" s="102"/>
      <c r="D114" s="102"/>
      <c r="E114" s="102"/>
      <c r="F114" s="102"/>
    </row>
    <row r="115" customFormat="false" ht="15" hidden="false" customHeight="false" outlineLevel="0" collapsed="false">
      <c r="B115" s="102"/>
      <c r="C115" s="102"/>
      <c r="D115" s="102"/>
      <c r="E115" s="102"/>
      <c r="F115" s="102"/>
    </row>
    <row r="116" customFormat="false" ht="15" hidden="false" customHeight="false" outlineLevel="0" collapsed="false">
      <c r="B116" s="102"/>
      <c r="C116" s="102"/>
      <c r="D116" s="102"/>
      <c r="E116" s="102"/>
      <c r="F116" s="102"/>
    </row>
    <row r="117" customFormat="false" ht="15" hidden="false" customHeight="false" outlineLevel="0" collapsed="false">
      <c r="B117" s="102"/>
      <c r="C117" s="102"/>
      <c r="D117" s="102"/>
      <c r="E117" s="102"/>
      <c r="F117" s="102"/>
    </row>
    <row r="118" customFormat="false" ht="15" hidden="false" customHeight="false" outlineLevel="0" collapsed="false">
      <c r="B118" s="102"/>
      <c r="C118" s="102"/>
      <c r="D118" s="102"/>
      <c r="E118" s="102"/>
      <c r="F118" s="102"/>
    </row>
    <row r="119" customFormat="false" ht="15" hidden="false" customHeight="false" outlineLevel="0" collapsed="false">
      <c r="B119" s="102"/>
      <c r="C119" s="102"/>
      <c r="D119" s="102"/>
      <c r="E119" s="102"/>
      <c r="F119" s="102"/>
    </row>
    <row r="120" customFormat="false" ht="15" hidden="false" customHeight="false" outlineLevel="0" collapsed="false">
      <c r="B120" s="102"/>
      <c r="C120" s="102"/>
      <c r="D120" s="102"/>
      <c r="E120" s="102"/>
      <c r="F120" s="102"/>
    </row>
    <row r="121" customFormat="false" ht="15" hidden="false" customHeight="false" outlineLevel="0" collapsed="false">
      <c r="B121" s="102"/>
      <c r="C121" s="102"/>
      <c r="D121" s="102"/>
      <c r="E121" s="102"/>
      <c r="F121" s="102"/>
    </row>
    <row r="122" customFormat="false" ht="15" hidden="false" customHeight="false" outlineLevel="0" collapsed="false">
      <c r="B122" s="102"/>
      <c r="C122" s="102"/>
      <c r="D122" s="102"/>
      <c r="E122" s="102"/>
      <c r="F122" s="102"/>
    </row>
    <row r="123" customFormat="false" ht="15" hidden="false" customHeight="false" outlineLevel="0" collapsed="false">
      <c r="B123" s="102"/>
      <c r="C123" s="102"/>
      <c r="D123" s="102"/>
      <c r="E123" s="102"/>
      <c r="F123" s="102"/>
    </row>
    <row r="124" customFormat="false" ht="15" hidden="false" customHeight="false" outlineLevel="0" collapsed="false">
      <c r="B124" s="102"/>
      <c r="C124" s="102"/>
      <c r="D124" s="102"/>
      <c r="E124" s="102"/>
      <c r="F124" s="102"/>
    </row>
    <row r="125" customFormat="false" ht="15" hidden="false" customHeight="false" outlineLevel="0" collapsed="false">
      <c r="B125" s="102"/>
      <c r="C125" s="102"/>
      <c r="D125" s="102"/>
      <c r="E125" s="102"/>
      <c r="F125" s="102"/>
    </row>
    <row r="126" customFormat="false" ht="15" hidden="false" customHeight="false" outlineLevel="0" collapsed="false">
      <c r="B126" s="102"/>
      <c r="C126" s="102"/>
      <c r="D126" s="102"/>
      <c r="E126" s="102"/>
      <c r="F126" s="102"/>
    </row>
    <row r="127" customFormat="false" ht="15" hidden="false" customHeight="false" outlineLevel="0" collapsed="false">
      <c r="B127" s="102"/>
      <c r="C127" s="102"/>
      <c r="D127" s="102"/>
      <c r="E127" s="102"/>
      <c r="F127" s="102"/>
    </row>
    <row r="128" customFormat="false" ht="15" hidden="false" customHeight="false" outlineLevel="0" collapsed="false">
      <c r="B128" s="102"/>
      <c r="C128" s="102"/>
      <c r="D128" s="102"/>
      <c r="E128" s="102"/>
      <c r="F128" s="102"/>
    </row>
    <row r="129" customFormat="false" ht="15" hidden="false" customHeight="false" outlineLevel="0" collapsed="false">
      <c r="B129" s="102"/>
      <c r="C129" s="102"/>
      <c r="D129" s="102"/>
      <c r="E129" s="102"/>
      <c r="F129" s="102"/>
    </row>
    <row r="130" customFormat="false" ht="15" hidden="false" customHeight="false" outlineLevel="0" collapsed="false">
      <c r="B130" s="102"/>
      <c r="C130" s="102"/>
      <c r="D130" s="102"/>
      <c r="E130" s="102"/>
      <c r="F130" s="102"/>
    </row>
    <row r="131" customFormat="false" ht="15" hidden="false" customHeight="false" outlineLevel="0" collapsed="false">
      <c r="B131" s="102"/>
      <c r="C131" s="102"/>
      <c r="D131" s="102"/>
      <c r="E131" s="102"/>
      <c r="F131" s="102"/>
    </row>
    <row r="132" customFormat="false" ht="15" hidden="false" customHeight="false" outlineLevel="0" collapsed="false">
      <c r="B132" s="102"/>
      <c r="C132" s="102"/>
      <c r="D132" s="102"/>
      <c r="E132" s="102"/>
      <c r="F132" s="102"/>
    </row>
    <row r="133" customFormat="false" ht="15" hidden="false" customHeight="false" outlineLevel="0" collapsed="false">
      <c r="B133" s="102"/>
      <c r="C133" s="102"/>
      <c r="D133" s="102"/>
      <c r="E133" s="102"/>
      <c r="F133" s="102"/>
    </row>
    <row r="134" customFormat="false" ht="15" hidden="false" customHeight="false" outlineLevel="0" collapsed="false">
      <c r="B134" s="102"/>
      <c r="C134" s="102"/>
      <c r="D134" s="102"/>
      <c r="E134" s="102"/>
      <c r="F134" s="102"/>
    </row>
    <row r="135" customFormat="false" ht="15" hidden="false" customHeight="false" outlineLevel="0" collapsed="false">
      <c r="B135" s="102"/>
      <c r="C135" s="102"/>
      <c r="D135" s="102"/>
      <c r="E135" s="102"/>
      <c r="F135" s="102"/>
    </row>
    <row r="136" customFormat="false" ht="15" hidden="false" customHeight="false" outlineLevel="0" collapsed="false">
      <c r="B136" s="102"/>
      <c r="C136" s="102"/>
      <c r="D136" s="102"/>
      <c r="E136" s="102"/>
      <c r="F136" s="102"/>
    </row>
    <row r="137" customFormat="false" ht="15" hidden="false" customHeight="false" outlineLevel="0" collapsed="false">
      <c r="B137" s="102"/>
      <c r="C137" s="102"/>
      <c r="D137" s="102"/>
      <c r="E137" s="102"/>
      <c r="F137" s="102"/>
    </row>
    <row r="138" customFormat="false" ht="15" hidden="false" customHeight="false" outlineLevel="0" collapsed="false">
      <c r="B138" s="102"/>
      <c r="C138" s="102"/>
      <c r="D138" s="102"/>
      <c r="E138" s="102"/>
      <c r="F138" s="102"/>
    </row>
    <row r="139" customFormat="false" ht="15" hidden="false" customHeight="false" outlineLevel="0" collapsed="false">
      <c r="B139" s="102"/>
      <c r="C139" s="102"/>
      <c r="D139" s="102"/>
      <c r="E139" s="102"/>
      <c r="F139" s="102"/>
    </row>
    <row r="140" customFormat="false" ht="15" hidden="false" customHeight="false" outlineLevel="0" collapsed="false">
      <c r="B140" s="102"/>
      <c r="C140" s="102"/>
      <c r="D140" s="102"/>
      <c r="E140" s="102"/>
      <c r="F140" s="102"/>
    </row>
    <row r="141" customFormat="false" ht="15" hidden="false" customHeight="false" outlineLevel="0" collapsed="false">
      <c r="B141" s="102"/>
      <c r="C141" s="102"/>
      <c r="D141" s="102"/>
      <c r="E141" s="102"/>
      <c r="F141" s="102"/>
    </row>
    <row r="142" customFormat="false" ht="15" hidden="false" customHeight="false" outlineLevel="0" collapsed="false">
      <c r="B142" s="102"/>
      <c r="C142" s="102"/>
      <c r="D142" s="102"/>
      <c r="E142" s="102"/>
      <c r="F142" s="102"/>
    </row>
    <row r="143" customFormat="false" ht="15" hidden="false" customHeight="false" outlineLevel="0" collapsed="false">
      <c r="B143" s="102"/>
      <c r="C143" s="102"/>
      <c r="D143" s="102"/>
      <c r="E143" s="102"/>
      <c r="F143" s="102"/>
    </row>
    <row r="144" customFormat="false" ht="15" hidden="false" customHeight="false" outlineLevel="0" collapsed="false">
      <c r="B144" s="102"/>
      <c r="C144" s="102"/>
      <c r="D144" s="102"/>
      <c r="E144" s="102"/>
      <c r="F144" s="102"/>
    </row>
    <row r="145" customFormat="false" ht="15" hidden="false" customHeight="false" outlineLevel="0" collapsed="false">
      <c r="B145" s="102"/>
      <c r="C145" s="102"/>
      <c r="D145" s="102"/>
      <c r="E145" s="102"/>
      <c r="F145" s="102"/>
    </row>
    <row r="146" customFormat="false" ht="15" hidden="false" customHeight="false" outlineLevel="0" collapsed="false">
      <c r="B146" s="102"/>
      <c r="C146" s="102"/>
      <c r="D146" s="102"/>
      <c r="E146" s="102"/>
      <c r="F146" s="102"/>
    </row>
    <row r="147" customFormat="false" ht="15" hidden="false" customHeight="false" outlineLevel="0" collapsed="false">
      <c r="B147" s="102"/>
      <c r="C147" s="102"/>
      <c r="D147" s="102"/>
      <c r="E147" s="102"/>
      <c r="F147" s="102"/>
    </row>
    <row r="148" customFormat="false" ht="15" hidden="false" customHeight="false" outlineLevel="0" collapsed="false">
      <c r="B148" s="102"/>
      <c r="C148" s="102"/>
      <c r="D148" s="102"/>
      <c r="E148" s="102"/>
      <c r="F148" s="102"/>
    </row>
    <row r="149" customFormat="false" ht="15" hidden="false" customHeight="false" outlineLevel="0" collapsed="false">
      <c r="B149" s="102"/>
      <c r="C149" s="102"/>
      <c r="D149" s="102"/>
      <c r="E149" s="102"/>
      <c r="F149" s="102"/>
    </row>
    <row r="150" customFormat="false" ht="15" hidden="false" customHeight="false" outlineLevel="0" collapsed="false">
      <c r="B150" s="102"/>
      <c r="C150" s="102"/>
      <c r="D150" s="102"/>
      <c r="E150" s="102"/>
      <c r="F150" s="102"/>
    </row>
    <row r="151" customFormat="false" ht="15" hidden="false" customHeight="false" outlineLevel="0" collapsed="false">
      <c r="B151" s="102"/>
      <c r="C151" s="102"/>
      <c r="D151" s="102"/>
      <c r="E151" s="102"/>
      <c r="F151" s="102"/>
    </row>
    <row r="152" customFormat="false" ht="15" hidden="false" customHeight="false" outlineLevel="0" collapsed="false">
      <c r="B152" s="102"/>
      <c r="C152" s="102"/>
      <c r="D152" s="102"/>
      <c r="E152" s="102"/>
      <c r="F152" s="102"/>
    </row>
    <row r="153" customFormat="false" ht="15" hidden="false" customHeight="false" outlineLevel="0" collapsed="false">
      <c r="B153" s="102"/>
      <c r="C153" s="102"/>
      <c r="D153" s="102"/>
      <c r="E153" s="102"/>
      <c r="F153" s="102"/>
    </row>
    <row r="154" customFormat="false" ht="15" hidden="false" customHeight="false" outlineLevel="0" collapsed="false">
      <c r="B154" s="102"/>
      <c r="C154" s="102"/>
      <c r="D154" s="102"/>
      <c r="E154" s="102"/>
      <c r="F154" s="102"/>
    </row>
    <row r="155" customFormat="false" ht="15" hidden="false" customHeight="false" outlineLevel="0" collapsed="false">
      <c r="B155" s="102"/>
      <c r="C155" s="102"/>
      <c r="D155" s="102"/>
      <c r="E155" s="102"/>
      <c r="F155" s="102"/>
    </row>
    <row r="156" customFormat="false" ht="15" hidden="false" customHeight="false" outlineLevel="0" collapsed="false">
      <c r="B156" s="102"/>
      <c r="C156" s="102"/>
      <c r="D156" s="102"/>
      <c r="E156" s="102"/>
      <c r="F156" s="102"/>
    </row>
    <row r="157" customFormat="false" ht="15" hidden="false" customHeight="false" outlineLevel="0" collapsed="false">
      <c r="B157" s="102"/>
      <c r="C157" s="102"/>
      <c r="D157" s="102"/>
      <c r="E157" s="102"/>
      <c r="F157" s="102"/>
    </row>
    <row r="158" customFormat="false" ht="15" hidden="false" customHeight="false" outlineLevel="0" collapsed="false">
      <c r="B158" s="102"/>
      <c r="C158" s="102"/>
      <c r="D158" s="102"/>
      <c r="E158" s="102"/>
      <c r="F158" s="102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I94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ColWidth="7.9921875" defaultRowHeight="13.2" zeroHeight="false" outlineLevelRow="0" outlineLevelCol="0"/>
  <cols>
    <col collapsed="false" customWidth="true" hidden="false" outlineLevel="0" max="1" min="1" style="103" width="9"/>
    <col collapsed="false" customWidth="false" hidden="false" outlineLevel="0" max="6" min="2" style="103" width="8"/>
    <col collapsed="false" customWidth="true" hidden="false" outlineLevel="0" max="7" min="7" style="103" width="8.8"/>
    <col collapsed="false" customWidth="false" hidden="false" outlineLevel="0" max="1024" min="8" style="103" width="8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120</v>
      </c>
    </row>
    <row r="5" customFormat="false" ht="15.6" hidden="false" customHeight="false" outlineLevel="0" collapsed="false">
      <c r="B5" s="104"/>
    </row>
    <row r="6" customFormat="false" ht="13.2" hidden="false" customHeight="false" outlineLevel="0" collapsed="false">
      <c r="B6" s="105" t="s">
        <v>121</v>
      </c>
    </row>
    <row r="7" customFormat="false" ht="13.2" hidden="false" customHeight="false" outlineLevel="0" collapsed="false">
      <c r="B7" s="105" t="s">
        <v>122</v>
      </c>
    </row>
    <row r="8" customFormat="false" ht="13.2" hidden="false" customHeight="false" outlineLevel="0" collapsed="false">
      <c r="B8" s="105" t="s">
        <v>123</v>
      </c>
    </row>
    <row r="11" customFormat="false" ht="13.2" hidden="false" customHeight="false" outlineLevel="0" collapsed="false">
      <c r="F11" s="106" t="s">
        <v>124</v>
      </c>
      <c r="I11" s="105" t="s">
        <v>125</v>
      </c>
    </row>
    <row r="12" customFormat="false" ht="13.2" hidden="false" customHeight="false" outlineLevel="0" collapsed="false">
      <c r="F12" s="107" t="n">
        <v>-5.7</v>
      </c>
      <c r="I12" s="103" t="n">
        <v>-30</v>
      </c>
    </row>
    <row r="13" customFormat="false" ht="13.2" hidden="false" customHeight="false" outlineLevel="0" collapsed="false">
      <c r="F13" s="107" t="n">
        <v>1.2</v>
      </c>
      <c r="I13" s="103" t="n">
        <v>-20</v>
      </c>
    </row>
    <row r="14" customFormat="false" ht="13.2" hidden="false" customHeight="false" outlineLevel="0" collapsed="false">
      <c r="F14" s="107" t="n">
        <v>4.1</v>
      </c>
      <c r="I14" s="103" t="n">
        <v>-10</v>
      </c>
    </row>
    <row r="15" customFormat="false" ht="13.2" hidden="false" customHeight="false" outlineLevel="0" collapsed="false">
      <c r="F15" s="107" t="n">
        <v>3.2</v>
      </c>
      <c r="I15" s="103" t="n">
        <v>0</v>
      </c>
    </row>
    <row r="16" customFormat="false" ht="13.2" hidden="false" customHeight="false" outlineLevel="0" collapsed="false">
      <c r="F16" s="107" t="n">
        <v>7.3</v>
      </c>
      <c r="I16" s="103" t="n">
        <v>10</v>
      </c>
    </row>
    <row r="17" customFormat="false" ht="13.2" hidden="false" customHeight="false" outlineLevel="0" collapsed="false">
      <c r="F17" s="107" t="n">
        <v>7.5</v>
      </c>
      <c r="I17" s="103" t="n">
        <v>20</v>
      </c>
    </row>
    <row r="18" customFormat="false" ht="13.2" hidden="false" customHeight="false" outlineLevel="0" collapsed="false">
      <c r="F18" s="107" t="n">
        <v>18.6</v>
      </c>
    </row>
    <row r="19" customFormat="false" ht="13.2" hidden="false" customHeight="false" outlineLevel="0" collapsed="false">
      <c r="F19" s="107" t="n">
        <v>3.7</v>
      </c>
    </row>
    <row r="20" customFormat="false" ht="13.2" hidden="false" customHeight="false" outlineLevel="0" collapsed="false">
      <c r="F20" s="107" t="n">
        <v>-1.8</v>
      </c>
    </row>
    <row r="21" customFormat="false" ht="13.2" hidden="false" customHeight="false" outlineLevel="0" collapsed="false">
      <c r="F21" s="107" t="n">
        <v>2.4</v>
      </c>
    </row>
    <row r="22" customFormat="false" ht="13.2" hidden="false" customHeight="false" outlineLevel="0" collapsed="false">
      <c r="F22" s="107" t="n">
        <v>-6.5</v>
      </c>
    </row>
    <row r="23" customFormat="false" ht="13.2" hidden="false" customHeight="false" outlineLevel="0" collapsed="false">
      <c r="F23" s="107" t="n">
        <v>6.7</v>
      </c>
    </row>
    <row r="24" customFormat="false" ht="13.2" hidden="false" customHeight="false" outlineLevel="0" collapsed="false">
      <c r="F24" s="107" t="n">
        <v>9.4</v>
      </c>
    </row>
    <row r="25" customFormat="false" ht="13.2" hidden="false" customHeight="false" outlineLevel="0" collapsed="false">
      <c r="F25" s="107" t="n">
        <v>-2</v>
      </c>
    </row>
    <row r="26" customFormat="false" ht="13.2" hidden="false" customHeight="false" outlineLevel="0" collapsed="false">
      <c r="F26" s="107" t="n">
        <v>-2.8</v>
      </c>
    </row>
    <row r="27" customFormat="false" ht="13.2" hidden="false" customHeight="false" outlineLevel="0" collapsed="false">
      <c r="F27" s="107" t="n">
        <v>-3.4</v>
      </c>
    </row>
    <row r="28" customFormat="false" ht="13.2" hidden="false" customHeight="false" outlineLevel="0" collapsed="false">
      <c r="F28" s="107" t="n">
        <v>19.2</v>
      </c>
    </row>
    <row r="29" customFormat="false" ht="13.2" hidden="false" customHeight="false" outlineLevel="0" collapsed="false">
      <c r="F29" s="107" t="n">
        <v>-4.8</v>
      </c>
    </row>
    <row r="30" customFormat="false" ht="13.2" hidden="false" customHeight="false" outlineLevel="0" collapsed="false">
      <c r="F30" s="107" t="n">
        <v>0.5</v>
      </c>
    </row>
    <row r="31" customFormat="false" ht="13.2" hidden="false" customHeight="false" outlineLevel="0" collapsed="false">
      <c r="F31" s="107" t="n">
        <v>-0.6</v>
      </c>
    </row>
    <row r="32" customFormat="false" ht="13.2" hidden="false" customHeight="false" outlineLevel="0" collapsed="false">
      <c r="F32" s="107" t="n">
        <v>2.8</v>
      </c>
    </row>
    <row r="33" customFormat="false" ht="13.2" hidden="false" customHeight="false" outlineLevel="0" collapsed="false">
      <c r="F33" s="107" t="n">
        <v>-0.5</v>
      </c>
    </row>
    <row r="34" customFormat="false" ht="13.2" hidden="false" customHeight="false" outlineLevel="0" collapsed="false">
      <c r="F34" s="107" t="n">
        <v>-4.5</v>
      </c>
    </row>
    <row r="35" customFormat="false" ht="13.2" hidden="false" customHeight="false" outlineLevel="0" collapsed="false">
      <c r="F35" s="107" t="n">
        <v>8.7</v>
      </c>
    </row>
    <row r="36" customFormat="false" ht="13.2" hidden="false" customHeight="false" outlineLevel="0" collapsed="false">
      <c r="F36" s="107" t="n">
        <v>2.7</v>
      </c>
    </row>
    <row r="37" customFormat="false" ht="13.2" hidden="false" customHeight="false" outlineLevel="0" collapsed="false">
      <c r="F37" s="107" t="n">
        <v>4.1</v>
      </c>
    </row>
    <row r="38" customFormat="false" ht="13.2" hidden="false" customHeight="false" outlineLevel="0" collapsed="false">
      <c r="F38" s="107" t="n">
        <v>-10.3</v>
      </c>
    </row>
    <row r="39" customFormat="false" ht="13.2" hidden="false" customHeight="false" outlineLevel="0" collapsed="false">
      <c r="F39" s="107" t="n">
        <v>4.8</v>
      </c>
    </row>
    <row r="40" customFormat="false" ht="13.2" hidden="false" customHeight="false" outlineLevel="0" collapsed="false">
      <c r="F40" s="107" t="n">
        <v>-2.3</v>
      </c>
    </row>
    <row r="41" customFormat="false" ht="13.2" hidden="false" customHeight="false" outlineLevel="0" collapsed="false">
      <c r="F41" s="107" t="n">
        <v>-3.1</v>
      </c>
    </row>
    <row r="42" customFormat="false" ht="13.2" hidden="false" customHeight="false" outlineLevel="0" collapsed="false">
      <c r="F42" s="107" t="n">
        <v>-10.2</v>
      </c>
    </row>
    <row r="43" customFormat="false" ht="13.2" hidden="false" customHeight="false" outlineLevel="0" collapsed="false">
      <c r="F43" s="107" t="n">
        <v>-3.7</v>
      </c>
    </row>
    <row r="44" customFormat="false" ht="13.2" hidden="false" customHeight="false" outlineLevel="0" collapsed="false">
      <c r="F44" s="107" t="n">
        <v>-26.6</v>
      </c>
    </row>
    <row r="45" customFormat="false" ht="13.2" hidden="false" customHeight="false" outlineLevel="0" collapsed="false">
      <c r="F45" s="107" t="n">
        <v>7.2</v>
      </c>
    </row>
    <row r="46" customFormat="false" ht="13.2" hidden="false" customHeight="false" outlineLevel="0" collapsed="false">
      <c r="F46" s="107" t="n">
        <v>-2.9</v>
      </c>
    </row>
    <row r="47" customFormat="false" ht="13.2" hidden="false" customHeight="false" outlineLevel="0" collapsed="false">
      <c r="F47" s="107" t="n">
        <v>-2.3</v>
      </c>
    </row>
    <row r="48" customFormat="false" ht="13.2" hidden="false" customHeight="false" outlineLevel="0" collapsed="false">
      <c r="F48" s="107" t="n">
        <v>3.5</v>
      </c>
    </row>
    <row r="49" customFormat="false" ht="13.2" hidden="false" customHeight="false" outlineLevel="0" collapsed="false">
      <c r="F49" s="107" t="n">
        <v>-4.6</v>
      </c>
    </row>
    <row r="50" customFormat="false" ht="13.2" hidden="false" customHeight="false" outlineLevel="0" collapsed="false">
      <c r="F50" s="107" t="n">
        <v>17.2</v>
      </c>
    </row>
    <row r="51" customFormat="false" ht="13.2" hidden="false" customHeight="false" outlineLevel="0" collapsed="false">
      <c r="F51" s="107" t="n">
        <v>4.2</v>
      </c>
    </row>
    <row r="52" customFormat="false" ht="13.2" hidden="false" customHeight="false" outlineLevel="0" collapsed="false">
      <c r="F52" s="107" t="n">
        <v>0.5</v>
      </c>
    </row>
    <row r="53" customFormat="false" ht="13.2" hidden="false" customHeight="false" outlineLevel="0" collapsed="false">
      <c r="F53" s="107" t="n">
        <v>8.3</v>
      </c>
    </row>
    <row r="54" customFormat="false" ht="13.2" hidden="false" customHeight="false" outlineLevel="0" collapsed="false">
      <c r="F54" s="107" t="n">
        <v>-7.1</v>
      </c>
    </row>
    <row r="55" customFormat="false" ht="13.2" hidden="false" customHeight="false" outlineLevel="0" collapsed="false">
      <c r="F55" s="107" t="n">
        <v>-8.4</v>
      </c>
    </row>
    <row r="56" customFormat="false" ht="13.2" hidden="false" customHeight="false" outlineLevel="0" collapsed="false">
      <c r="F56" s="107" t="n">
        <v>7.7</v>
      </c>
    </row>
    <row r="57" customFormat="false" ht="13.2" hidden="false" customHeight="false" outlineLevel="0" collapsed="false">
      <c r="F57" s="107" t="n">
        <v>-9.6</v>
      </c>
    </row>
    <row r="58" customFormat="false" ht="13.2" hidden="false" customHeight="false" outlineLevel="0" collapsed="false">
      <c r="F58" s="107" t="n">
        <v>6</v>
      </c>
    </row>
    <row r="59" customFormat="false" ht="13.2" hidden="false" customHeight="false" outlineLevel="0" collapsed="false">
      <c r="F59" s="107" t="n">
        <v>6.8</v>
      </c>
    </row>
    <row r="60" customFormat="false" ht="13.2" hidden="false" customHeight="false" outlineLevel="0" collapsed="false">
      <c r="F60" s="107" t="n">
        <v>10.9</v>
      </c>
    </row>
    <row r="61" customFormat="false" ht="13.2" hidden="false" customHeight="false" outlineLevel="0" collapsed="false">
      <c r="F61" s="107" t="n">
        <v>1.6</v>
      </c>
    </row>
    <row r="62" customFormat="false" ht="13.2" hidden="false" customHeight="false" outlineLevel="0" collapsed="false">
      <c r="F62" s="107" t="n">
        <v>0.2</v>
      </c>
    </row>
    <row r="63" customFormat="false" ht="13.2" hidden="false" customHeight="false" outlineLevel="0" collapsed="false">
      <c r="F63" s="107" t="n">
        <v>-2.4</v>
      </c>
    </row>
    <row r="64" customFormat="false" ht="13.2" hidden="false" customHeight="false" outlineLevel="0" collapsed="false">
      <c r="F64" s="107" t="n">
        <v>-2.4</v>
      </c>
    </row>
    <row r="65" customFormat="false" ht="13.2" hidden="false" customHeight="false" outlineLevel="0" collapsed="false">
      <c r="F65" s="107" t="n">
        <v>3.9</v>
      </c>
    </row>
    <row r="66" customFormat="false" ht="13.2" hidden="false" customHeight="false" outlineLevel="0" collapsed="false">
      <c r="F66" s="107" t="n">
        <v>1.7</v>
      </c>
    </row>
    <row r="67" customFormat="false" ht="13.2" hidden="false" customHeight="false" outlineLevel="0" collapsed="false">
      <c r="F67" s="107" t="n">
        <v>9</v>
      </c>
    </row>
    <row r="68" customFormat="false" ht="13.2" hidden="false" customHeight="false" outlineLevel="0" collapsed="false">
      <c r="F68" s="107" t="n">
        <v>3.6</v>
      </c>
    </row>
    <row r="69" customFormat="false" ht="13.2" hidden="false" customHeight="false" outlineLevel="0" collapsed="false">
      <c r="F69" s="107" t="n">
        <v>7.6</v>
      </c>
    </row>
    <row r="70" customFormat="false" ht="13.2" hidden="false" customHeight="false" outlineLevel="0" collapsed="false">
      <c r="F70" s="107" t="n">
        <v>3.2</v>
      </c>
    </row>
    <row r="71" customFormat="false" ht="13.2" hidden="false" customHeight="false" outlineLevel="0" collapsed="false">
      <c r="F71" s="107" t="n">
        <v>-3.7</v>
      </c>
    </row>
    <row r="72" customFormat="false" ht="13.2" hidden="false" customHeight="false" outlineLevel="0" collapsed="false">
      <c r="F72" s="107" t="n">
        <v>4.2</v>
      </c>
    </row>
    <row r="73" customFormat="false" ht="13.2" hidden="false" customHeight="false" outlineLevel="0" collapsed="false">
      <c r="F73" s="107" t="n">
        <v>13.2</v>
      </c>
    </row>
    <row r="74" customFormat="false" ht="13.2" hidden="false" customHeight="false" outlineLevel="0" collapsed="false">
      <c r="F74" s="107" t="n">
        <v>0.9</v>
      </c>
    </row>
    <row r="75" customFormat="false" ht="13.2" hidden="false" customHeight="false" outlineLevel="0" collapsed="false">
      <c r="F75" s="107" t="n">
        <v>4.2</v>
      </c>
    </row>
    <row r="76" customFormat="false" ht="13.2" hidden="false" customHeight="false" outlineLevel="0" collapsed="false">
      <c r="F76" s="107" t="n">
        <v>4</v>
      </c>
    </row>
    <row r="77" customFormat="false" ht="13.2" hidden="false" customHeight="false" outlineLevel="0" collapsed="false">
      <c r="F77" s="107" t="n">
        <v>2.8</v>
      </c>
    </row>
    <row r="78" customFormat="false" ht="13.2" hidden="false" customHeight="false" outlineLevel="0" collapsed="false">
      <c r="F78" s="107" t="n">
        <v>6.7</v>
      </c>
    </row>
    <row r="79" customFormat="false" ht="13.2" hidden="false" customHeight="false" outlineLevel="0" collapsed="false">
      <c r="F79" s="107" t="n">
        <v>-10.4</v>
      </c>
    </row>
    <row r="80" customFormat="false" ht="13.2" hidden="false" customHeight="false" outlineLevel="0" collapsed="false">
      <c r="F80" s="107" t="n">
        <v>2.7</v>
      </c>
    </row>
    <row r="81" customFormat="false" ht="13.2" hidden="false" customHeight="false" outlineLevel="0" collapsed="false">
      <c r="F81" s="107" t="n">
        <v>10.3</v>
      </c>
    </row>
    <row r="82" customFormat="false" ht="13.2" hidden="false" customHeight="false" outlineLevel="0" collapsed="false">
      <c r="F82" s="107" t="n">
        <v>5.7</v>
      </c>
    </row>
    <row r="83" customFormat="false" ht="13.2" hidden="false" customHeight="false" outlineLevel="0" collapsed="false">
      <c r="F83" s="107" t="n">
        <v>0.6</v>
      </c>
    </row>
    <row r="84" customFormat="false" ht="13.2" hidden="false" customHeight="false" outlineLevel="0" collapsed="false">
      <c r="F84" s="107" t="n">
        <v>-14.2</v>
      </c>
    </row>
    <row r="85" customFormat="false" ht="13.2" hidden="false" customHeight="false" outlineLevel="0" collapsed="false">
      <c r="F85" s="107" t="n">
        <v>1.3</v>
      </c>
    </row>
    <row r="86" customFormat="false" ht="13.2" hidden="false" customHeight="false" outlineLevel="0" collapsed="false">
      <c r="F86" s="107" t="n">
        <v>2.9</v>
      </c>
    </row>
    <row r="87" customFormat="false" ht="13.2" hidden="false" customHeight="false" outlineLevel="0" collapsed="false">
      <c r="F87" s="107" t="n">
        <v>11.8</v>
      </c>
    </row>
    <row r="88" customFormat="false" ht="13.2" hidden="false" customHeight="false" outlineLevel="0" collapsed="false">
      <c r="F88" s="107" t="n">
        <v>10.6</v>
      </c>
    </row>
    <row r="89" customFormat="false" ht="13.2" hidden="false" customHeight="false" outlineLevel="0" collapsed="false">
      <c r="F89" s="107" t="n">
        <v>5.2</v>
      </c>
    </row>
    <row r="90" customFormat="false" ht="13.2" hidden="false" customHeight="false" outlineLevel="0" collapsed="false">
      <c r="F90" s="107" t="n">
        <v>13.8</v>
      </c>
    </row>
    <row r="91" customFormat="false" ht="13.2" hidden="false" customHeight="false" outlineLevel="0" collapsed="false">
      <c r="F91" s="107" t="n">
        <v>-14.7</v>
      </c>
    </row>
    <row r="92" customFormat="false" ht="13.2" hidden="false" customHeight="false" outlineLevel="0" collapsed="false">
      <c r="F92" s="107" t="n">
        <v>3.5</v>
      </c>
    </row>
    <row r="93" customFormat="false" ht="13.2" hidden="false" customHeight="false" outlineLevel="0" collapsed="false">
      <c r="F93" s="107" t="n">
        <v>11.7</v>
      </c>
    </row>
    <row r="94" customFormat="false" ht="13.2" hidden="false" customHeight="false" outlineLevel="0" collapsed="false">
      <c r="F94" s="107" t="n">
        <v>1.3</v>
      </c>
    </row>
  </sheetData>
  <printOptions headings="false" gridLines="false" gridLinesSet="true" horizontalCentered="true" verticalCentered="false"/>
  <pageMargins left="0.75" right="0.75" top="1.57013888888889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S2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2" activeCellId="0" sqref="B2"/>
    </sheetView>
  </sheetViews>
  <sheetFormatPr defaultColWidth="8.9921875" defaultRowHeight="13.8" zeroHeight="false" outlineLevelRow="0" outlineLevelCol="0"/>
  <cols>
    <col collapsed="false" customWidth="false" hidden="false" outlineLevel="0" max="1" min="1" style="108" width="9"/>
    <col collapsed="false" customWidth="true" hidden="false" outlineLevel="0" max="2" min="2" style="108" width="13.6"/>
    <col collapsed="false" customWidth="false" hidden="false" outlineLevel="0" max="12" min="3" style="108" width="9"/>
    <col collapsed="false" customWidth="true" hidden="false" outlineLevel="0" max="13" min="13" style="108" width="10.59"/>
    <col collapsed="false" customWidth="true" hidden="false" outlineLevel="0" max="14" min="14" style="108" width="9.2"/>
    <col collapsed="false" customWidth="false" hidden="false" outlineLevel="0" max="15" min="15" style="108" width="9"/>
    <col collapsed="false" customWidth="true" hidden="false" outlineLevel="0" max="16" min="16" style="108" width="10.1"/>
    <col collapsed="false" customWidth="true" hidden="false" outlineLevel="0" max="17" min="17" style="108" width="10"/>
    <col collapsed="false" customWidth="false" hidden="false" outlineLevel="0" max="18" min="18" style="108" width="9"/>
    <col collapsed="false" customWidth="true" hidden="false" outlineLevel="0" max="19" min="19" style="108" width="11.31"/>
    <col collapsed="false" customWidth="false" hidden="false" outlineLevel="0" max="1024" min="20" style="108" width="9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126</v>
      </c>
    </row>
    <row r="6" customFormat="false" ht="13.8" hidden="false" customHeight="false" outlineLevel="0" collapsed="false">
      <c r="B6" s="109" t="s">
        <v>127</v>
      </c>
      <c r="C6" s="110" t="s">
        <v>128</v>
      </c>
      <c r="D6" s="110" t="s">
        <v>129</v>
      </c>
      <c r="E6" s="110" t="s">
        <v>130</v>
      </c>
      <c r="F6" s="111" t="s">
        <v>131</v>
      </c>
      <c r="G6" s="110" t="s">
        <v>132</v>
      </c>
      <c r="H6" s="110" t="s">
        <v>133</v>
      </c>
      <c r="I6" s="110" t="s">
        <v>134</v>
      </c>
      <c r="J6" s="111" t="s">
        <v>135</v>
      </c>
      <c r="K6" s="110" t="s">
        <v>136</v>
      </c>
      <c r="L6" s="110" t="s">
        <v>137</v>
      </c>
      <c r="M6" s="110" t="s">
        <v>138</v>
      </c>
      <c r="N6" s="111" t="s">
        <v>139</v>
      </c>
      <c r="O6" s="110" t="s">
        <v>140</v>
      </c>
      <c r="P6" s="110" t="s">
        <v>141</v>
      </c>
      <c r="Q6" s="110" t="s">
        <v>142</v>
      </c>
      <c r="R6" s="111" t="s">
        <v>143</v>
      </c>
      <c r="S6" s="109" t="s">
        <v>144</v>
      </c>
    </row>
    <row r="7" customFormat="false" ht="13.8" hidden="false" customHeight="false" outlineLevel="0" collapsed="false">
      <c r="B7" s="108" t="s">
        <v>145</v>
      </c>
      <c r="C7" s="112" t="n">
        <v>1130</v>
      </c>
      <c r="D7" s="112" t="n">
        <v>1243</v>
      </c>
      <c r="E7" s="112" t="n">
        <v>1367.3</v>
      </c>
      <c r="F7" s="113" t="n">
        <f aca="false">SUM(C7:E7)</f>
        <v>3740.3</v>
      </c>
      <c r="G7" s="112" t="n">
        <v>1654.433</v>
      </c>
      <c r="H7" s="112" t="n">
        <v>1819.8763</v>
      </c>
      <c r="I7" s="112" t="n">
        <v>2001.86393</v>
      </c>
      <c r="J7" s="113" t="n">
        <f aca="false">SUM(G7:I7)</f>
        <v>5476.17323</v>
      </c>
      <c r="K7" s="112" t="n">
        <v>2422.2553553</v>
      </c>
      <c r="L7" s="112" t="n">
        <v>2664.48089083</v>
      </c>
      <c r="M7" s="112" t="n">
        <v>2930.928979913</v>
      </c>
      <c r="N7" s="113" t="n">
        <f aca="false">SUM(K7:M7)</f>
        <v>8017.66522604301</v>
      </c>
      <c r="O7" s="112" t="n">
        <v>3546.42406569473</v>
      </c>
      <c r="P7" s="112" t="n">
        <v>3901.06647226421</v>
      </c>
      <c r="Q7" s="112" t="n">
        <v>4291.17311949063</v>
      </c>
      <c r="R7" s="113" t="n">
        <f aca="false">SUM(O7:Q7)</f>
        <v>11738.6636574496</v>
      </c>
      <c r="S7" s="113" t="n">
        <f aca="false">SUM(R7,N7,J7,F7)</f>
        <v>28972.8021134926</v>
      </c>
    </row>
    <row r="8" customFormat="false" ht="13.8" hidden="false" customHeight="false" outlineLevel="0" collapsed="false">
      <c r="B8" s="108" t="s">
        <v>146</v>
      </c>
      <c r="C8" s="112" t="n">
        <v>890</v>
      </c>
      <c r="D8" s="112" t="n">
        <v>987.9</v>
      </c>
      <c r="E8" s="112" t="n">
        <v>1096.569</v>
      </c>
      <c r="F8" s="113" t="n">
        <f aca="false">SUM(C8:E8)</f>
        <v>2974.469</v>
      </c>
      <c r="G8" s="112" t="n">
        <v>1351.0826649</v>
      </c>
      <c r="H8" s="112" t="n">
        <v>1499.701758039</v>
      </c>
      <c r="I8" s="112" t="n">
        <v>1664.66895142329</v>
      </c>
      <c r="J8" s="113" t="n">
        <f aca="false">SUM(G8:I8)</f>
        <v>4515.45337436229</v>
      </c>
      <c r="K8" s="112" t="n">
        <v>2051.03861504864</v>
      </c>
      <c r="L8" s="112" t="n">
        <v>2276.65286270399</v>
      </c>
      <c r="M8" s="112" t="n">
        <v>2527.08467760143</v>
      </c>
      <c r="N8" s="113" t="n">
        <f aca="false">SUM(K8:M8)</f>
        <v>6854.77615535405</v>
      </c>
      <c r="O8" s="112" t="n">
        <v>3113.62103127272</v>
      </c>
      <c r="P8" s="112" t="n">
        <v>3456.11934471272</v>
      </c>
      <c r="Q8" s="112" t="n">
        <v>3836.29247263112</v>
      </c>
      <c r="R8" s="113" t="n">
        <f aca="false">SUM(O8:Q8)</f>
        <v>10406.0328486166</v>
      </c>
      <c r="S8" s="113" t="n">
        <f aca="false">SUM(R8,N8,J8,F8)</f>
        <v>24750.7313783329</v>
      </c>
    </row>
    <row r="9" customFormat="false" ht="13.8" hidden="false" customHeight="false" outlineLevel="0" collapsed="false">
      <c r="B9" s="114" t="s">
        <v>147</v>
      </c>
      <c r="C9" s="115" t="n">
        <v>4210</v>
      </c>
      <c r="D9" s="115" t="n">
        <v>4588.9</v>
      </c>
      <c r="E9" s="115" t="n">
        <v>5001.901</v>
      </c>
      <c r="F9" s="116" t="n">
        <f aca="false">SUM(C9:E9)</f>
        <v>13800.801</v>
      </c>
      <c r="G9" s="115" t="n">
        <v>5942.7585781</v>
      </c>
      <c r="H9" s="115" t="n">
        <v>6477.606850129</v>
      </c>
      <c r="I9" s="115" t="n">
        <v>7060.59146664061</v>
      </c>
      <c r="J9" s="116" t="n">
        <f aca="false">SUM(G9:I9)</f>
        <v>19480.9568948696</v>
      </c>
      <c r="K9" s="115" t="n">
        <v>8388.68872151571</v>
      </c>
      <c r="L9" s="115" t="n">
        <v>9143.67070645213</v>
      </c>
      <c r="M9" s="115" t="n">
        <v>9966.60107003282</v>
      </c>
      <c r="N9" s="116" t="n">
        <f aca="false">SUM(K9:M9)</f>
        <v>27498.9604980007</v>
      </c>
      <c r="O9" s="115" t="n">
        <v>11841.318731306</v>
      </c>
      <c r="P9" s="115" t="n">
        <v>12907.0374171235</v>
      </c>
      <c r="Q9" s="115" t="n">
        <v>14068.6707846647</v>
      </c>
      <c r="R9" s="116" t="n">
        <f aca="false">SUM(O9:Q9)</f>
        <v>38817.0269330942</v>
      </c>
      <c r="S9" s="116" t="n">
        <f aca="false">SUM(R9,N9,J9,F9)</f>
        <v>99597.7453259645</v>
      </c>
    </row>
    <row r="10" customFormat="false" ht="13.8" hidden="false" customHeight="false" outlineLevel="0" collapsed="false">
      <c r="B10" s="117" t="s">
        <v>148</v>
      </c>
      <c r="C10" s="112" t="n">
        <f aca="false">SUM(C7:C9)</f>
        <v>6230</v>
      </c>
      <c r="D10" s="112" t="n">
        <f aca="false">SUM(D7:D9)</f>
        <v>6819.8</v>
      </c>
      <c r="E10" s="112" t="n">
        <f aca="false">SUM(E7:E9)</f>
        <v>7465.77</v>
      </c>
      <c r="F10" s="113" t="n">
        <f aca="false">SUM(F7:F9)</f>
        <v>20515.57</v>
      </c>
      <c r="G10" s="112" t="n">
        <f aca="false">SUM(G7:G9)</f>
        <v>8948.274243</v>
      </c>
      <c r="H10" s="112" t="n">
        <f aca="false">SUM(H7:H9)</f>
        <v>9797.184908168</v>
      </c>
      <c r="I10" s="112" t="n">
        <f aca="false">SUM(I7:I9)</f>
        <v>10727.1243480639</v>
      </c>
      <c r="J10" s="113" t="n">
        <f aca="false">SUM(J7:J9)</f>
        <v>29472.5834992319</v>
      </c>
      <c r="K10" s="112" t="n">
        <f aca="false">SUM(K7:K9)</f>
        <v>12861.9826918644</v>
      </c>
      <c r="L10" s="112" t="n">
        <f aca="false">SUM(L7:L9)</f>
        <v>14084.8044599861</v>
      </c>
      <c r="M10" s="112" t="n">
        <f aca="false">SUM(M7:M9)</f>
        <v>15424.6147275472</v>
      </c>
      <c r="N10" s="113" t="n">
        <f aca="false">SUM(N7:N9)</f>
        <v>42371.4018793977</v>
      </c>
      <c r="O10" s="112" t="n">
        <f aca="false">SUM(O7:O9)</f>
        <v>18501.3638282734</v>
      </c>
      <c r="P10" s="112" t="n">
        <f aca="false">SUM(P7:P9)</f>
        <v>20264.2232341005</v>
      </c>
      <c r="Q10" s="112" t="n">
        <f aca="false">SUM(Q7:Q9)</f>
        <v>22196.1363767864</v>
      </c>
      <c r="R10" s="113" t="n">
        <f aca="false">SUM(O10:Q10)</f>
        <v>60961.7234391603</v>
      </c>
      <c r="S10" s="113" t="n">
        <f aca="false">SUM(R10,N10,J10,F10)</f>
        <v>153321.27881779</v>
      </c>
    </row>
    <row r="11" customFormat="false" ht="13.8" hidden="false" customHeight="false" outlineLevel="0" collapsed="false">
      <c r="C11" s="112"/>
      <c r="D11" s="112"/>
      <c r="E11" s="112"/>
      <c r="F11" s="113"/>
      <c r="G11" s="112"/>
      <c r="H11" s="112"/>
      <c r="I11" s="112"/>
      <c r="J11" s="113"/>
      <c r="K11" s="112"/>
      <c r="L11" s="112"/>
      <c r="M11" s="112"/>
      <c r="N11" s="113"/>
      <c r="O11" s="112"/>
      <c r="P11" s="112"/>
      <c r="Q11" s="112"/>
      <c r="R11" s="113"/>
      <c r="S11" s="109"/>
    </row>
    <row r="12" customFormat="false" ht="13.8" hidden="false" customHeight="false" outlineLevel="0" collapsed="false">
      <c r="B12" s="108" t="s">
        <v>149</v>
      </c>
      <c r="C12" s="112" t="n">
        <v>1126</v>
      </c>
      <c r="D12" s="112" t="n">
        <v>1153.024</v>
      </c>
      <c r="E12" s="112" t="n">
        <v>1180.696576</v>
      </c>
      <c r="F12" s="113" t="n">
        <f aca="false">SUM(F9:F11)</f>
        <v>34316.371</v>
      </c>
      <c r="G12" s="112" t="n">
        <v>1238.05009287578</v>
      </c>
      <c r="H12" s="112" t="n">
        <v>1267.76329510479</v>
      </c>
      <c r="I12" s="112" t="n">
        <v>1298.18961418731</v>
      </c>
      <c r="J12" s="113" t="n">
        <f aca="false">SUM(J9:J11)</f>
        <v>48953.5403941015</v>
      </c>
      <c r="K12" s="112" t="n">
        <v>1361.25047288607</v>
      </c>
      <c r="L12" s="112" t="n">
        <v>1393.92048423534</v>
      </c>
      <c r="M12" s="112" t="n">
        <v>1427.37457585699</v>
      </c>
      <c r="N12" s="113" t="n">
        <f aca="false">SUM(N9:N11)</f>
        <v>69870.3623773984</v>
      </c>
      <c r="O12" s="112" t="n">
        <v>1496.71072325382</v>
      </c>
      <c r="P12" s="112" t="n">
        <v>1532.63178061191</v>
      </c>
      <c r="Q12" s="112" t="n">
        <v>1569.41494334659</v>
      </c>
      <c r="R12" s="113" t="n">
        <f aca="false">SUM(O12:Q12)</f>
        <v>4598.75744721232</v>
      </c>
      <c r="S12" s="113" t="n">
        <f aca="false">SUM(R12,N12,J12,F12)</f>
        <v>157739.031218712</v>
      </c>
    </row>
    <row r="13" customFormat="false" ht="13.8" hidden="false" customHeight="false" outlineLevel="0" collapsed="false">
      <c r="B13" s="108" t="s">
        <v>150</v>
      </c>
      <c r="C13" s="112" t="n">
        <v>2104</v>
      </c>
      <c r="D13" s="112" t="n">
        <v>2154.496</v>
      </c>
      <c r="E13" s="112" t="n">
        <v>2206.203904</v>
      </c>
      <c r="F13" s="113" t="n">
        <f aca="false">SUM(F10:F12)</f>
        <v>54831.941</v>
      </c>
      <c r="G13" s="112" t="n">
        <v>2313.3724648407</v>
      </c>
      <c r="H13" s="112" t="n">
        <v>2368.89340399688</v>
      </c>
      <c r="I13" s="112" t="n">
        <v>2425.74684569281</v>
      </c>
      <c r="J13" s="113" t="n">
        <f aca="false">SUM(J10:J12)</f>
        <v>78426.1238933335</v>
      </c>
      <c r="K13" s="112" t="n">
        <v>2543.57992446918</v>
      </c>
      <c r="L13" s="112" t="n">
        <v>2604.62584265644</v>
      </c>
      <c r="M13" s="112" t="n">
        <v>2667.13686288019</v>
      </c>
      <c r="N13" s="113" t="n">
        <f aca="false">SUM(N10:N12)</f>
        <v>112241.764256796</v>
      </c>
      <c r="O13" s="112" t="n">
        <v>2796.69570313146</v>
      </c>
      <c r="P13" s="112" t="n">
        <v>2863.81640000662</v>
      </c>
      <c r="Q13" s="112" t="n">
        <v>2932.54799360678</v>
      </c>
      <c r="R13" s="113" t="n">
        <f aca="false">SUM(O13:Q13)</f>
        <v>8593.06009674486</v>
      </c>
      <c r="S13" s="113" t="n">
        <f aca="false">SUM(R13,N13,J13,F13)</f>
        <v>254092.889246874</v>
      </c>
    </row>
    <row r="14" customFormat="false" ht="13.8" hidden="false" customHeight="false" outlineLevel="0" collapsed="false">
      <c r="B14" s="114" t="s">
        <v>151</v>
      </c>
      <c r="C14" s="115" t="n">
        <v>980</v>
      </c>
      <c r="D14" s="115" t="n">
        <v>1003.52</v>
      </c>
      <c r="E14" s="115" t="n">
        <v>1027.60448</v>
      </c>
      <c r="F14" s="116" t="n">
        <f aca="false">SUM(F11:F13)</f>
        <v>89148.312</v>
      </c>
      <c r="G14" s="115" t="n">
        <v>1077.52139522048</v>
      </c>
      <c r="H14" s="115" t="n">
        <v>1103.38190870577</v>
      </c>
      <c r="I14" s="115" t="n">
        <v>1129.86307451471</v>
      </c>
      <c r="J14" s="116" t="n">
        <f aca="false">SUM(J11:J13)</f>
        <v>127379.664287435</v>
      </c>
      <c r="K14" s="115" t="n">
        <v>1184.74730322234</v>
      </c>
      <c r="L14" s="115" t="n">
        <v>1213.18123849967</v>
      </c>
      <c r="M14" s="115" t="n">
        <v>1242.29758822366</v>
      </c>
      <c r="N14" s="116" t="n">
        <f aca="false">SUM(N11:N13)</f>
        <v>182112.126634194</v>
      </c>
      <c r="O14" s="115" t="n">
        <v>1302.64343586922</v>
      </c>
      <c r="P14" s="115" t="n">
        <v>1333.90687833008</v>
      </c>
      <c r="Q14" s="115" t="n">
        <v>1365.92064341</v>
      </c>
      <c r="R14" s="116" t="n">
        <f aca="false">SUM(O14:Q14)</f>
        <v>4002.4709576093</v>
      </c>
      <c r="S14" s="116" t="n">
        <f aca="false">SUM(R14,N14,J14,F14)</f>
        <v>402642.573879239</v>
      </c>
    </row>
    <row r="15" customFormat="false" ht="13.8" hidden="false" customHeight="false" outlineLevel="0" collapsed="false">
      <c r="B15" s="117" t="s">
        <v>152</v>
      </c>
      <c r="C15" s="112" t="n">
        <f aca="false">SUM(C12:C14)</f>
        <v>4210</v>
      </c>
      <c r="D15" s="112" t="n">
        <f aca="false">SUM(D12:D14)</f>
        <v>4311.04</v>
      </c>
      <c r="E15" s="112" t="n">
        <f aca="false">SUM(E12:E14)</f>
        <v>4414.50496</v>
      </c>
      <c r="F15" s="113" t="n">
        <f aca="false">SUM(F12:F14)</f>
        <v>178296.624</v>
      </c>
      <c r="G15" s="112" t="n">
        <f aca="false">SUM(G12:G14)</f>
        <v>4628.94395293696</v>
      </c>
      <c r="H15" s="112" t="n">
        <f aca="false">SUM(H12:H14)</f>
        <v>4740.03860780745</v>
      </c>
      <c r="I15" s="112" t="n">
        <f aca="false">SUM(I12:I14)</f>
        <v>4853.79953439483</v>
      </c>
      <c r="J15" s="113" t="n">
        <f aca="false">SUM(J12:J14)</f>
        <v>254759.32857487</v>
      </c>
      <c r="K15" s="112" t="n">
        <f aca="false">SUM(K12:K14)</f>
        <v>5089.57770057759</v>
      </c>
      <c r="L15" s="112" t="n">
        <f aca="false">SUM(L12:L14)</f>
        <v>5211.72756539145</v>
      </c>
      <c r="M15" s="112" t="n">
        <f aca="false">SUM(M12:M14)</f>
        <v>5336.80902696085</v>
      </c>
      <c r="N15" s="113" t="n">
        <f aca="false">SUM(N12:N14)</f>
        <v>364224.253268389</v>
      </c>
      <c r="O15" s="112" t="n">
        <f aca="false">SUM(O12:O14)</f>
        <v>5596.0498622545</v>
      </c>
      <c r="P15" s="112" t="n">
        <f aca="false">SUM(P12:P14)</f>
        <v>5730.3550589486</v>
      </c>
      <c r="Q15" s="112" t="n">
        <f aca="false">SUM(Q12:Q14)</f>
        <v>5867.88358036337</v>
      </c>
      <c r="R15" s="113" t="n">
        <f aca="false">SUM(R12:R14)</f>
        <v>17194.2885015665</v>
      </c>
      <c r="S15" s="113" t="n">
        <f aca="false">SUM(R15,N15,J15,F15)</f>
        <v>814474.494344825</v>
      </c>
    </row>
    <row r="16" customFormat="false" ht="13.8" hidden="false" customHeight="false" outlineLevel="0" collapsed="false">
      <c r="C16" s="112"/>
      <c r="D16" s="112"/>
      <c r="E16" s="112"/>
      <c r="F16" s="113"/>
      <c r="G16" s="112"/>
      <c r="H16" s="112"/>
      <c r="I16" s="112"/>
      <c r="J16" s="113"/>
      <c r="K16" s="112"/>
      <c r="L16" s="112"/>
      <c r="M16" s="112"/>
      <c r="N16" s="113"/>
      <c r="O16" s="112"/>
      <c r="P16" s="112"/>
      <c r="Q16" s="112"/>
      <c r="R16" s="113"/>
      <c r="S16" s="109"/>
    </row>
    <row r="17" customFormat="false" ht="13.8" hidden="false" customHeight="false" outlineLevel="0" collapsed="false">
      <c r="B17" s="108" t="s">
        <v>153</v>
      </c>
      <c r="C17" s="112" t="n">
        <v>1500</v>
      </c>
      <c r="D17" s="112" t="n">
        <v>1536</v>
      </c>
      <c r="E17" s="112" t="n">
        <v>1572.864</v>
      </c>
      <c r="F17" s="113" t="n">
        <f aca="false">SUM(F14:F16)</f>
        <v>267444.936</v>
      </c>
      <c r="G17" s="112" t="n">
        <v>1649.267441664</v>
      </c>
      <c r="H17" s="112" t="n">
        <v>1688.84986026394</v>
      </c>
      <c r="I17" s="112" t="n">
        <v>1729.38225691027</v>
      </c>
      <c r="J17" s="113" t="n">
        <f aca="false">SUM(J14:J16)</f>
        <v>382138.992862305</v>
      </c>
      <c r="K17" s="112" t="n">
        <v>1813.38872942194</v>
      </c>
      <c r="L17" s="112" t="n">
        <v>1856.91005892807</v>
      </c>
      <c r="M17" s="112" t="n">
        <v>1901.47590034234</v>
      </c>
      <c r="N17" s="113" t="n">
        <f aca="false">SUM(N14:N16)</f>
        <v>546336.379902583</v>
      </c>
      <c r="O17" s="112" t="n">
        <v>1993.84199367737</v>
      </c>
      <c r="P17" s="112" t="n">
        <v>2041.69420152563</v>
      </c>
      <c r="Q17" s="112" t="n">
        <v>2090.69486236225</v>
      </c>
      <c r="R17" s="113" t="n">
        <f aca="false">SUM(O17:Q17)</f>
        <v>6126.23105756525</v>
      </c>
      <c r="S17" s="113" t="n">
        <f aca="false">SUM(R17,N17,J17,F17)</f>
        <v>1202046.53982245</v>
      </c>
    </row>
    <row r="18" customFormat="false" ht="13.8" hidden="false" customHeight="false" outlineLevel="0" collapsed="false">
      <c r="B18" s="108" t="s">
        <v>154</v>
      </c>
      <c r="C18" s="112" t="n">
        <v>2000</v>
      </c>
      <c r="D18" s="112" t="n">
        <v>2048</v>
      </c>
      <c r="E18" s="112" t="n">
        <v>2097.152</v>
      </c>
      <c r="F18" s="113" t="n">
        <f aca="false">SUM(F15:F17)</f>
        <v>445741.56</v>
      </c>
      <c r="G18" s="112" t="n">
        <v>2199.023255552</v>
      </c>
      <c r="H18" s="112" t="n">
        <v>2251.79981368525</v>
      </c>
      <c r="I18" s="112" t="n">
        <v>2305.84300921369</v>
      </c>
      <c r="J18" s="113" t="n">
        <f aca="false">SUM(J15:J17)</f>
        <v>636898.321437175</v>
      </c>
      <c r="K18" s="112" t="n">
        <v>2417.85163922926</v>
      </c>
      <c r="L18" s="112" t="n">
        <v>2475.88007857076</v>
      </c>
      <c r="M18" s="112" t="n">
        <v>2535.30120045646</v>
      </c>
      <c r="N18" s="113" t="n">
        <f aca="false">SUM(N15:N17)</f>
        <v>910560.633170972</v>
      </c>
      <c r="O18" s="112" t="n">
        <v>2658.45599156983</v>
      </c>
      <c r="P18" s="112" t="n">
        <v>2722.25893536751</v>
      </c>
      <c r="Q18" s="112" t="n">
        <v>2787.59314981633</v>
      </c>
      <c r="R18" s="113" t="n">
        <f aca="false">SUM(O18:Q18)</f>
        <v>8168.30807675367</v>
      </c>
      <c r="S18" s="113" t="n">
        <f aca="false">SUM(R18,N18,J18,F18)</f>
        <v>2001368.8226849</v>
      </c>
    </row>
    <row r="19" customFormat="false" ht="13.8" hidden="false" customHeight="false" outlineLevel="0" collapsed="false">
      <c r="B19" s="114" t="s">
        <v>155</v>
      </c>
      <c r="C19" s="115" t="n">
        <v>3100</v>
      </c>
      <c r="D19" s="115" t="n">
        <v>3174.4</v>
      </c>
      <c r="E19" s="115" t="n">
        <v>3250.5856</v>
      </c>
      <c r="F19" s="116" t="n">
        <f aca="false">SUM(F16:F18)</f>
        <v>713186.496</v>
      </c>
      <c r="G19" s="115" t="n">
        <v>3408.4860461056</v>
      </c>
      <c r="H19" s="115" t="n">
        <v>3490.28971121214</v>
      </c>
      <c r="I19" s="115" t="n">
        <v>3574.05666428123</v>
      </c>
      <c r="J19" s="116" t="n">
        <f aca="false">SUM(J16:J18)</f>
        <v>1019037.31429948</v>
      </c>
      <c r="K19" s="115" t="n">
        <v>3747.67004080535</v>
      </c>
      <c r="L19" s="115" t="n">
        <v>3837.61412178468</v>
      </c>
      <c r="M19" s="115" t="n">
        <v>3929.71686070751</v>
      </c>
      <c r="N19" s="116" t="n">
        <f aca="false">SUM(N16:N18)</f>
        <v>1456897.01307356</v>
      </c>
      <c r="O19" s="115" t="n">
        <v>4120.60678693324</v>
      </c>
      <c r="P19" s="115" t="n">
        <v>4219.50134981964</v>
      </c>
      <c r="Q19" s="115" t="n">
        <v>4320.76938221531</v>
      </c>
      <c r="R19" s="116" t="n">
        <f aca="false">SUM(O19:Q19)</f>
        <v>12660.8775189682</v>
      </c>
      <c r="S19" s="113" t="n">
        <f aca="false">SUM(R19,N19,J19,F19)</f>
        <v>3201781.700892</v>
      </c>
    </row>
    <row r="20" customFormat="false" ht="13.8" hidden="false" customHeight="false" outlineLevel="0" collapsed="false">
      <c r="B20" s="118" t="s">
        <v>156</v>
      </c>
      <c r="C20" s="119" t="n">
        <f aca="false">SUM(C17:C19)</f>
        <v>6600</v>
      </c>
      <c r="D20" s="119" t="n">
        <f aca="false">SUM(D17:D19)</f>
        <v>6758.4</v>
      </c>
      <c r="E20" s="119" t="n">
        <f aca="false">SUM(E17:E19)</f>
        <v>6920.6016</v>
      </c>
      <c r="F20" s="120" t="n">
        <f aca="false">SUM(F17:F19)</f>
        <v>1426372.992</v>
      </c>
      <c r="G20" s="119" t="n">
        <f aca="false">SUM(G17:G19)</f>
        <v>7256.7767433216</v>
      </c>
      <c r="H20" s="119" t="n">
        <f aca="false">SUM(H17:H19)</f>
        <v>7430.93938516132</v>
      </c>
      <c r="I20" s="119" t="n">
        <f aca="false">SUM(I17:I19)</f>
        <v>7609.28193040519</v>
      </c>
      <c r="J20" s="120" t="n">
        <f aca="false">SUM(J17:J19)</f>
        <v>2038074.62859896</v>
      </c>
      <c r="K20" s="119" t="n">
        <f aca="false">SUM(K17:K19)</f>
        <v>7978.91040945656</v>
      </c>
      <c r="L20" s="119" t="n">
        <f aca="false">SUM(L17:L19)</f>
        <v>8170.40425928351</v>
      </c>
      <c r="M20" s="119" t="n">
        <f aca="false">SUM(M17:M19)</f>
        <v>8366.49396150632</v>
      </c>
      <c r="N20" s="120" t="n">
        <f aca="false">SUM(N17:N19)</f>
        <v>2913794.02614711</v>
      </c>
      <c r="O20" s="119" t="n">
        <f aca="false">SUM(O17:O19)</f>
        <v>8772.90477218045</v>
      </c>
      <c r="P20" s="119" t="n">
        <f aca="false">SUM(P17:P19)</f>
        <v>8983.45448671278</v>
      </c>
      <c r="Q20" s="119" t="n">
        <f aca="false">SUM(Q17:Q19)</f>
        <v>9199.05739439388</v>
      </c>
      <c r="R20" s="120" t="n">
        <f aca="false">SUM(R17:R19)</f>
        <v>26955.4166532871</v>
      </c>
      <c r="S20" s="120" t="n">
        <f aca="false">SUM(R20,N20,J20,F20)</f>
        <v>6405197.06339936</v>
      </c>
    </row>
    <row r="21" customFormat="false" ht="13.8" hidden="false" customHeight="false" outlineLevel="0" collapsed="false">
      <c r="B21" s="117" t="s">
        <v>144</v>
      </c>
      <c r="C21" s="112" t="n">
        <f aca="false">SUM(C10,C15,C20)</f>
        <v>17040</v>
      </c>
      <c r="D21" s="112" t="n">
        <f aca="false">SUM(D10,D15,D20)</f>
        <v>17889.24</v>
      </c>
      <c r="E21" s="112" t="n">
        <f aca="false">SUM(E10,E15,E20)</f>
        <v>18800.87656</v>
      </c>
      <c r="F21" s="113" t="n">
        <f aca="false">SUM(F10,F15,F20)</f>
        <v>1625185.186</v>
      </c>
      <c r="G21" s="112" t="n">
        <f aca="false">SUM(G10,G15,G20)</f>
        <v>20833.9949392586</v>
      </c>
      <c r="H21" s="112" t="n">
        <f aca="false">SUM(H10,H15,H20)</f>
        <v>21968.1629011368</v>
      </c>
      <c r="I21" s="112" t="n">
        <f aca="false">SUM(I10,I15,I20)</f>
        <v>23190.2058128639</v>
      </c>
      <c r="J21" s="113" t="n">
        <f aca="false">SUM(J10,J15,J20)</f>
        <v>2322306.54067306</v>
      </c>
      <c r="K21" s="112" t="n">
        <f aca="false">SUM(K10,K15,K20)</f>
        <v>25930.4708018985</v>
      </c>
      <c r="L21" s="112" t="n">
        <f aca="false">SUM(L10,L15,L20)</f>
        <v>27466.9362846611</v>
      </c>
      <c r="M21" s="112" t="n">
        <f aca="false">SUM(M10,M15,M20)</f>
        <v>29127.9177160144</v>
      </c>
      <c r="N21" s="113" t="n">
        <f aca="false">SUM(N10,N15,N20)</f>
        <v>3320389.6812949</v>
      </c>
      <c r="O21" s="112" t="n">
        <f aca="false">SUM(O10,O15,O20)</f>
        <v>32870.3184627084</v>
      </c>
      <c r="P21" s="112" t="n">
        <f aca="false">SUM(P10,P15,P20)</f>
        <v>34978.0327797618</v>
      </c>
      <c r="Q21" s="112" t="n">
        <f aca="false">SUM(Q10,Q15,Q20)</f>
        <v>37263.0773515437</v>
      </c>
      <c r="R21" s="113" t="n">
        <f aca="false">SUM(R10,R15,R20)</f>
        <v>105111.428594014</v>
      </c>
      <c r="S21" s="113" t="n">
        <f aca="false">SUM(R21,N21,J21,F21)</f>
        <v>7372992.83656197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J18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2" activeCellId="0" sqref="B2"/>
    </sheetView>
  </sheetViews>
  <sheetFormatPr defaultColWidth="8.59375" defaultRowHeight="13.8" zeroHeight="false" outlineLevelRow="0" outlineLevelCol="0"/>
  <cols>
    <col collapsed="false" customWidth="true" hidden="false" outlineLevel="0" max="2" min="2" style="0" width="10.5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157</v>
      </c>
    </row>
    <row r="5" customFormat="false" ht="14.4" hidden="false" customHeight="false" outlineLevel="0" collapsed="false">
      <c r="H5" s="109" t="s">
        <v>158</v>
      </c>
      <c r="I5" s="108"/>
      <c r="J5" s="108"/>
    </row>
    <row r="6" customFormat="false" ht="14.4" hidden="false" customHeight="false" outlineLevel="0" collapsed="false">
      <c r="B6" s="121"/>
      <c r="C6" s="122" t="s">
        <v>131</v>
      </c>
      <c r="D6" s="122" t="s">
        <v>135</v>
      </c>
      <c r="E6" s="122" t="s">
        <v>139</v>
      </c>
      <c r="F6" s="122" t="s">
        <v>143</v>
      </c>
      <c r="H6" s="123"/>
      <c r="I6" s="108"/>
      <c r="J6" s="109" t="s">
        <v>159</v>
      </c>
    </row>
    <row r="7" customFormat="false" ht="13.8" hidden="false" customHeight="false" outlineLevel="0" collapsed="false">
      <c r="B7" s="122" t="s">
        <v>130</v>
      </c>
      <c r="C7" s="121" t="n">
        <v>55</v>
      </c>
      <c r="D7" s="121" t="n">
        <v>68</v>
      </c>
      <c r="E7" s="121" t="n">
        <v>100</v>
      </c>
      <c r="F7" s="121" t="n">
        <v>68</v>
      </c>
      <c r="H7" s="108"/>
      <c r="I7" s="108"/>
      <c r="J7" s="124" t="n">
        <v>10</v>
      </c>
    </row>
    <row r="8" customFormat="false" ht="13.8" hidden="false" customHeight="false" outlineLevel="0" collapsed="false">
      <c r="B8" s="122" t="s">
        <v>132</v>
      </c>
      <c r="C8" s="121" t="n">
        <v>68</v>
      </c>
      <c r="D8" s="121" t="n">
        <v>72</v>
      </c>
      <c r="E8" s="121" t="n">
        <v>88</v>
      </c>
      <c r="F8" s="121" t="n">
        <v>33</v>
      </c>
      <c r="H8" s="108"/>
      <c r="I8" s="108"/>
      <c r="J8" s="124" t="n">
        <v>20</v>
      </c>
    </row>
    <row r="9" customFormat="false" ht="13.8" hidden="false" customHeight="false" outlineLevel="0" collapsed="false">
      <c r="B9" s="122" t="s">
        <v>133</v>
      </c>
      <c r="C9" s="121" t="n">
        <v>108</v>
      </c>
      <c r="D9" s="121" t="n">
        <v>91</v>
      </c>
      <c r="E9" s="121" t="n">
        <v>43</v>
      </c>
      <c r="F9" s="121" t="n">
        <v>96</v>
      </c>
      <c r="H9" s="108"/>
      <c r="I9" s="108"/>
      <c r="J9" s="124" t="n">
        <v>30</v>
      </c>
    </row>
    <row r="10" customFormat="false" ht="13.8" hidden="false" customHeight="false" outlineLevel="0" collapsed="false">
      <c r="B10" s="122" t="s">
        <v>134</v>
      </c>
      <c r="C10" s="121" t="n">
        <v>96</v>
      </c>
      <c r="D10" s="121" t="n">
        <v>88</v>
      </c>
      <c r="E10" s="121" t="n">
        <v>25</v>
      </c>
      <c r="F10" s="121" t="n">
        <v>401</v>
      </c>
      <c r="H10" s="108"/>
      <c r="I10" s="108"/>
      <c r="J10" s="124" t="n">
        <v>40</v>
      </c>
    </row>
    <row r="11" customFormat="false" ht="13.8" hidden="false" customHeight="false" outlineLevel="0" collapsed="false">
      <c r="B11" s="122" t="s">
        <v>136</v>
      </c>
      <c r="C11" s="121" t="n">
        <v>40</v>
      </c>
      <c r="D11" s="121" t="n">
        <v>580</v>
      </c>
      <c r="E11" s="121" t="n">
        <v>38</v>
      </c>
      <c r="F11" s="121" t="n">
        <v>68</v>
      </c>
      <c r="H11" s="108"/>
      <c r="I11" s="108"/>
      <c r="J11" s="124" t="n">
        <v>50</v>
      </c>
    </row>
    <row r="12" customFormat="false" ht="13.8" hidden="false" customHeight="false" outlineLevel="0" collapsed="false">
      <c r="B12" s="122" t="s">
        <v>137</v>
      </c>
      <c r="C12" s="121" t="n">
        <v>68</v>
      </c>
      <c r="D12" s="121" t="n">
        <v>33</v>
      </c>
      <c r="E12" s="121" t="n">
        <v>44</v>
      </c>
      <c r="F12" s="121" t="n">
        <v>12</v>
      </c>
      <c r="H12" s="108"/>
      <c r="I12" s="108"/>
      <c r="J12" s="124" t="n">
        <v>60</v>
      </c>
    </row>
    <row r="13" customFormat="false" ht="13.8" hidden="false" customHeight="false" outlineLevel="0" collapsed="false">
      <c r="B13" s="122" t="s">
        <v>138</v>
      </c>
      <c r="C13" s="121" t="n">
        <v>72</v>
      </c>
      <c r="D13" s="121" t="n">
        <v>96</v>
      </c>
      <c r="E13" s="121" t="n">
        <v>86</v>
      </c>
      <c r="F13" s="121" t="n">
        <v>800</v>
      </c>
      <c r="H13" s="108"/>
      <c r="I13" s="108"/>
      <c r="J13" s="124" t="n">
        <v>70</v>
      </c>
    </row>
    <row r="14" customFormat="false" ht="13.8" hidden="false" customHeight="false" outlineLevel="0" collapsed="false">
      <c r="B14" s="122" t="s">
        <v>140</v>
      </c>
      <c r="C14" s="121" t="n">
        <v>91</v>
      </c>
      <c r="D14" s="121" t="n">
        <v>400</v>
      </c>
      <c r="E14" s="121" t="n">
        <v>35</v>
      </c>
      <c r="F14" s="121" t="n">
        <v>68</v>
      </c>
      <c r="H14" s="108"/>
      <c r="I14" s="108"/>
      <c r="J14" s="124" t="n">
        <v>80</v>
      </c>
    </row>
    <row r="15" customFormat="false" ht="13.8" hidden="false" customHeight="false" outlineLevel="0" collapsed="false">
      <c r="B15" s="122" t="s">
        <v>141</v>
      </c>
      <c r="C15" s="121" t="n">
        <v>88</v>
      </c>
      <c r="D15" s="121" t="n">
        <v>68</v>
      </c>
      <c r="E15" s="121" t="n">
        <v>68</v>
      </c>
      <c r="F15" s="121" t="n">
        <v>33</v>
      </c>
      <c r="H15" s="108"/>
      <c r="I15" s="108"/>
      <c r="J15" s="124" t="n">
        <v>90</v>
      </c>
    </row>
    <row r="16" customFormat="false" ht="13.8" hidden="false" customHeight="false" outlineLevel="0" collapsed="false">
      <c r="B16" s="122" t="s">
        <v>142</v>
      </c>
      <c r="C16" s="121" t="n">
        <v>43</v>
      </c>
      <c r="D16" s="121" t="n">
        <v>91</v>
      </c>
      <c r="E16" s="121" t="n">
        <v>701</v>
      </c>
      <c r="F16" s="121" t="n">
        <v>96</v>
      </c>
      <c r="H16" s="108"/>
      <c r="I16" s="108"/>
      <c r="J16" s="124" t="n">
        <v>100</v>
      </c>
    </row>
    <row r="17" customFormat="false" ht="13.8" hidden="false" customHeight="false" outlineLevel="0" collapsed="false">
      <c r="B17" s="122" t="s">
        <v>128</v>
      </c>
      <c r="C17" s="121" t="n">
        <v>10</v>
      </c>
      <c r="D17" s="121" t="n">
        <v>88</v>
      </c>
      <c r="E17" s="121" t="n">
        <v>91</v>
      </c>
      <c r="F17" s="121" t="n">
        <v>90</v>
      </c>
    </row>
    <row r="18" customFormat="false" ht="13.8" hidden="false" customHeight="false" outlineLevel="0" collapsed="false">
      <c r="B18" s="122" t="s">
        <v>129</v>
      </c>
      <c r="C18" s="121" t="n">
        <v>0</v>
      </c>
      <c r="D18" s="121" t="n">
        <v>43</v>
      </c>
      <c r="E18" s="121" t="n">
        <v>88</v>
      </c>
      <c r="F18" s="121" t="n">
        <v>34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H224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2" activeCellId="0" sqref="B2"/>
    </sheetView>
  </sheetViews>
  <sheetFormatPr defaultColWidth="7.9921875" defaultRowHeight="13.2" zeroHeight="false" outlineLevelRow="0" outlineLevelCol="0"/>
  <cols>
    <col collapsed="false" customWidth="true" hidden="false" outlineLevel="0" max="1" min="1" style="125" width="6.69"/>
    <col collapsed="false" customWidth="false" hidden="false" outlineLevel="0" max="2" min="2" style="125" width="8"/>
    <col collapsed="false" customWidth="true" hidden="false" outlineLevel="0" max="3" min="3" style="125" width="7"/>
    <col collapsed="false" customWidth="true" hidden="false" outlineLevel="0" max="4" min="4" style="125" width="5.09"/>
    <col collapsed="false" customWidth="true" hidden="false" outlineLevel="0" max="5" min="5" style="125" width="9.1"/>
    <col collapsed="false" customWidth="true" hidden="false" outlineLevel="0" max="6" min="6" style="125" width="9.5"/>
    <col collapsed="false" customWidth="true" hidden="false" outlineLevel="0" max="7" min="7" style="125" width="9.6"/>
    <col collapsed="false" customWidth="true" hidden="false" outlineLevel="0" max="8" min="8" style="125" width="10.2"/>
    <col collapsed="false" customWidth="true" hidden="false" outlineLevel="0" max="10" min="9" style="125" width="10.3"/>
    <col collapsed="false" customWidth="true" hidden="false" outlineLevel="0" max="11" min="11" style="125" width="10.8"/>
    <col collapsed="false" customWidth="true" hidden="false" outlineLevel="0" max="13" min="12" style="125" width="11.8"/>
    <col collapsed="false" customWidth="false" hidden="false" outlineLevel="0" max="1024" min="14" style="125" width="8"/>
  </cols>
  <sheetData>
    <row r="2" customFormat="false" ht="13.8" hidden="false" customHeight="false" outlineLevel="0" collapsed="false">
      <c r="B2" s="12"/>
    </row>
    <row r="3" customFormat="false" ht="13.8" hidden="false" customHeight="false" outlineLevel="0" collapsed="false">
      <c r="B3" s="12" t="s">
        <v>160</v>
      </c>
    </row>
    <row r="6" customFormat="false" ht="15.6" hidden="false" customHeight="false" outlineLevel="0" collapsed="false">
      <c r="C6" s="126" t="s">
        <v>161</v>
      </c>
    </row>
    <row r="8" customFormat="false" ht="13.8" hidden="false" customHeight="false" outlineLevel="0" collapsed="false">
      <c r="C8" s="127" t="s">
        <v>162</v>
      </c>
      <c r="D8" s="127" t="s">
        <v>163</v>
      </c>
      <c r="E8" s="127" t="s">
        <v>164</v>
      </c>
      <c r="F8" s="127" t="s">
        <v>127</v>
      </c>
      <c r="G8" s="127" t="s">
        <v>165</v>
      </c>
    </row>
    <row r="9" customFormat="false" ht="13.2" hidden="false" customHeight="false" outlineLevel="0" collapsed="false">
      <c r="C9" s="125" t="s">
        <v>166</v>
      </c>
      <c r="D9" s="125" t="n">
        <v>2004</v>
      </c>
      <c r="E9" s="125" t="s">
        <v>167</v>
      </c>
      <c r="F9" s="125" t="s">
        <v>147</v>
      </c>
      <c r="G9" s="128" t="n">
        <v>554536</v>
      </c>
    </row>
    <row r="10" customFormat="false" ht="13.2" hidden="false" customHeight="false" outlineLevel="0" collapsed="false">
      <c r="C10" s="125" t="s">
        <v>166</v>
      </c>
      <c r="D10" s="125" t="n">
        <v>2004</v>
      </c>
      <c r="E10" s="125" t="s">
        <v>168</v>
      </c>
      <c r="F10" s="125" t="s">
        <v>147</v>
      </c>
      <c r="G10" s="128" t="n">
        <v>540643</v>
      </c>
    </row>
    <row r="11" customFormat="false" ht="13.2" hidden="false" customHeight="false" outlineLevel="0" collapsed="false">
      <c r="C11" s="125" t="s">
        <v>166</v>
      </c>
      <c r="D11" s="125" t="n">
        <v>2004</v>
      </c>
      <c r="E11" s="125" t="s">
        <v>169</v>
      </c>
      <c r="F11" s="125" t="s">
        <v>147</v>
      </c>
      <c r="G11" s="128" t="n">
        <v>577548</v>
      </c>
    </row>
    <row r="12" customFormat="false" ht="13.2" hidden="false" customHeight="false" outlineLevel="0" collapsed="false">
      <c r="C12" s="125" t="s">
        <v>166</v>
      </c>
      <c r="D12" s="125" t="n">
        <v>2004</v>
      </c>
      <c r="E12" s="125" t="s">
        <v>170</v>
      </c>
      <c r="F12" s="125" t="s">
        <v>147</v>
      </c>
      <c r="G12" s="128" t="n">
        <v>455905</v>
      </c>
    </row>
    <row r="13" customFormat="false" ht="13.2" hidden="false" customHeight="false" outlineLevel="0" collapsed="false">
      <c r="C13" s="125" t="s">
        <v>166</v>
      </c>
      <c r="D13" s="125" t="n">
        <v>2004</v>
      </c>
      <c r="E13" s="125" t="s">
        <v>171</v>
      </c>
      <c r="F13" s="125" t="s">
        <v>147</v>
      </c>
      <c r="G13" s="128" t="n">
        <v>490871</v>
      </c>
    </row>
    <row r="14" customFormat="false" ht="13.2" hidden="false" customHeight="false" outlineLevel="0" collapsed="false">
      <c r="C14" s="125" t="s">
        <v>166</v>
      </c>
      <c r="D14" s="125" t="n">
        <v>2004</v>
      </c>
      <c r="E14" s="125" t="s">
        <v>172</v>
      </c>
      <c r="F14" s="125" t="s">
        <v>147</v>
      </c>
      <c r="G14" s="128" t="n">
        <v>446383</v>
      </c>
    </row>
    <row r="15" customFormat="false" ht="13.2" hidden="false" customHeight="false" outlineLevel="0" collapsed="false">
      <c r="C15" s="125" t="s">
        <v>166</v>
      </c>
      <c r="D15" s="125" t="n">
        <v>2004</v>
      </c>
      <c r="E15" s="125" t="s">
        <v>167</v>
      </c>
      <c r="F15" s="125" t="s">
        <v>145</v>
      </c>
      <c r="G15" s="129" t="n">
        <v>457726</v>
      </c>
    </row>
    <row r="16" customFormat="false" ht="13.2" hidden="false" customHeight="false" outlineLevel="0" collapsed="false">
      <c r="C16" s="125" t="s">
        <v>166</v>
      </c>
      <c r="D16" s="125" t="n">
        <v>2004</v>
      </c>
      <c r="E16" s="125" t="s">
        <v>168</v>
      </c>
      <c r="F16" s="125" t="s">
        <v>145</v>
      </c>
      <c r="G16" s="129" t="n">
        <v>347696</v>
      </c>
    </row>
    <row r="17" customFormat="false" ht="13.2" hidden="false" customHeight="false" outlineLevel="0" collapsed="false">
      <c r="C17" s="125" t="s">
        <v>166</v>
      </c>
      <c r="D17" s="125" t="n">
        <v>2004</v>
      </c>
      <c r="E17" s="125" t="s">
        <v>169</v>
      </c>
      <c r="F17" s="125" t="s">
        <v>145</v>
      </c>
      <c r="G17" s="129" t="n">
        <v>384541</v>
      </c>
    </row>
    <row r="18" customFormat="false" ht="13.2" hidden="false" customHeight="false" outlineLevel="0" collapsed="false">
      <c r="C18" s="125" t="s">
        <v>166</v>
      </c>
      <c r="D18" s="125" t="n">
        <v>2004</v>
      </c>
      <c r="E18" s="125" t="s">
        <v>170</v>
      </c>
      <c r="F18" s="125" t="s">
        <v>145</v>
      </c>
      <c r="G18" s="129" t="n">
        <v>386420</v>
      </c>
    </row>
    <row r="19" customFormat="false" ht="13.2" hidden="false" customHeight="false" outlineLevel="0" collapsed="false">
      <c r="C19" s="125" t="s">
        <v>166</v>
      </c>
      <c r="D19" s="125" t="n">
        <v>2004</v>
      </c>
      <c r="E19" s="125" t="s">
        <v>171</v>
      </c>
      <c r="F19" s="125" t="s">
        <v>145</v>
      </c>
      <c r="G19" s="129" t="n">
        <v>370970</v>
      </c>
    </row>
    <row r="20" customFormat="false" ht="13.2" hidden="false" customHeight="false" outlineLevel="0" collapsed="false">
      <c r="C20" s="125" t="s">
        <v>166</v>
      </c>
      <c r="D20" s="125" t="n">
        <v>2004</v>
      </c>
      <c r="E20" s="125" t="s">
        <v>172</v>
      </c>
      <c r="F20" s="125" t="s">
        <v>145</v>
      </c>
      <c r="G20" s="129" t="n">
        <v>430754</v>
      </c>
    </row>
    <row r="21" customFormat="false" ht="13.2" hidden="false" customHeight="false" outlineLevel="0" collapsed="false">
      <c r="C21" s="125" t="s">
        <v>166</v>
      </c>
      <c r="D21" s="125" t="n">
        <v>2004</v>
      </c>
      <c r="E21" s="125" t="s">
        <v>167</v>
      </c>
      <c r="F21" s="125" t="s">
        <v>146</v>
      </c>
      <c r="G21" s="128" t="n">
        <v>500847</v>
      </c>
    </row>
    <row r="22" customFormat="false" ht="13.2" hidden="false" customHeight="false" outlineLevel="0" collapsed="false">
      <c r="C22" s="125" t="s">
        <v>166</v>
      </c>
      <c r="D22" s="125" t="n">
        <v>2004</v>
      </c>
      <c r="E22" s="125" t="s">
        <v>168</v>
      </c>
      <c r="F22" s="125" t="s">
        <v>146</v>
      </c>
      <c r="G22" s="128" t="n">
        <v>507070</v>
      </c>
    </row>
    <row r="23" customFormat="false" ht="13.2" hidden="false" customHeight="false" outlineLevel="0" collapsed="false">
      <c r="C23" s="125" t="s">
        <v>166</v>
      </c>
      <c r="D23" s="125" t="n">
        <v>2004</v>
      </c>
      <c r="E23" s="125" t="s">
        <v>169</v>
      </c>
      <c r="F23" s="125" t="s">
        <v>146</v>
      </c>
      <c r="G23" s="128" t="n">
        <v>482346</v>
      </c>
    </row>
    <row r="24" customFormat="false" ht="13.2" hidden="false" customHeight="false" outlineLevel="0" collapsed="false">
      <c r="C24" s="125" t="s">
        <v>166</v>
      </c>
      <c r="D24" s="125" t="n">
        <v>2004</v>
      </c>
      <c r="E24" s="125" t="s">
        <v>170</v>
      </c>
      <c r="F24" s="125" t="s">
        <v>146</v>
      </c>
      <c r="G24" s="128" t="n">
        <v>608713</v>
      </c>
    </row>
    <row r="25" customFormat="false" ht="13.2" hidden="false" customHeight="false" outlineLevel="0" collapsed="false">
      <c r="C25" s="125" t="s">
        <v>166</v>
      </c>
      <c r="D25" s="125" t="n">
        <v>2004</v>
      </c>
      <c r="E25" s="125" t="s">
        <v>171</v>
      </c>
      <c r="F25" s="125" t="s">
        <v>146</v>
      </c>
      <c r="G25" s="128" t="n">
        <v>554127</v>
      </c>
    </row>
    <row r="26" customFormat="false" ht="13.2" hidden="false" customHeight="false" outlineLevel="0" collapsed="false">
      <c r="C26" s="125" t="s">
        <v>166</v>
      </c>
      <c r="D26" s="125" t="n">
        <v>2004</v>
      </c>
      <c r="E26" s="125" t="s">
        <v>172</v>
      </c>
      <c r="F26" s="125" t="s">
        <v>146</v>
      </c>
      <c r="G26" s="128" t="n">
        <v>500649</v>
      </c>
    </row>
    <row r="27" customFormat="false" ht="13.2" hidden="false" customHeight="false" outlineLevel="0" collapsed="false">
      <c r="C27" s="125" t="s">
        <v>173</v>
      </c>
      <c r="D27" s="125" t="n">
        <v>2004</v>
      </c>
      <c r="E27" s="125" t="s">
        <v>167</v>
      </c>
      <c r="F27" s="125" t="s">
        <v>147</v>
      </c>
      <c r="G27" s="128" t="n">
        <v>545780</v>
      </c>
    </row>
    <row r="28" customFormat="false" ht="13.2" hidden="false" customHeight="false" outlineLevel="0" collapsed="false">
      <c r="C28" s="125" t="s">
        <v>173</v>
      </c>
      <c r="D28" s="125" t="n">
        <v>2004</v>
      </c>
      <c r="E28" s="125" t="s">
        <v>168</v>
      </c>
      <c r="F28" s="125" t="s">
        <v>147</v>
      </c>
      <c r="G28" s="128" t="n">
        <v>440644</v>
      </c>
    </row>
    <row r="29" customFormat="false" ht="13.2" hidden="false" customHeight="false" outlineLevel="0" collapsed="false">
      <c r="C29" s="125" t="s">
        <v>173</v>
      </c>
      <c r="D29" s="125" t="n">
        <v>2004</v>
      </c>
      <c r="E29" s="125" t="s">
        <v>169</v>
      </c>
      <c r="F29" s="125" t="s">
        <v>147</v>
      </c>
      <c r="G29" s="128" t="n">
        <v>580359</v>
      </c>
    </row>
    <row r="30" customFormat="false" ht="13.2" hidden="false" customHeight="false" outlineLevel="0" collapsed="false">
      <c r="C30" s="125" t="s">
        <v>173</v>
      </c>
      <c r="D30" s="125" t="n">
        <v>2004</v>
      </c>
      <c r="E30" s="125" t="s">
        <v>170</v>
      </c>
      <c r="F30" s="125" t="s">
        <v>147</v>
      </c>
      <c r="G30" s="128" t="n">
        <v>536225</v>
      </c>
    </row>
    <row r="31" customFormat="false" ht="13.2" hidden="false" customHeight="false" outlineLevel="0" collapsed="false">
      <c r="C31" s="125" t="s">
        <v>173</v>
      </c>
      <c r="D31" s="125" t="n">
        <v>2004</v>
      </c>
      <c r="E31" s="125" t="s">
        <v>171</v>
      </c>
      <c r="F31" s="125" t="s">
        <v>147</v>
      </c>
      <c r="G31" s="128" t="n">
        <v>414908</v>
      </c>
    </row>
    <row r="32" customFormat="false" ht="13.2" hidden="false" customHeight="false" outlineLevel="0" collapsed="false">
      <c r="C32" s="125" t="s">
        <v>173</v>
      </c>
      <c r="D32" s="125" t="n">
        <v>2004</v>
      </c>
      <c r="E32" s="125" t="s">
        <v>172</v>
      </c>
      <c r="F32" s="125" t="s">
        <v>147</v>
      </c>
      <c r="G32" s="128" t="n">
        <v>377997</v>
      </c>
    </row>
    <row r="33" customFormat="false" ht="13.2" hidden="false" customHeight="false" outlineLevel="0" collapsed="false">
      <c r="C33" s="125" t="s">
        <v>173</v>
      </c>
      <c r="D33" s="125" t="n">
        <v>2004</v>
      </c>
      <c r="E33" s="125" t="s">
        <v>167</v>
      </c>
      <c r="F33" s="125" t="s">
        <v>145</v>
      </c>
      <c r="G33" s="129" t="n">
        <v>331289</v>
      </c>
    </row>
    <row r="34" customFormat="false" ht="13.2" hidden="false" customHeight="false" outlineLevel="0" collapsed="false">
      <c r="C34" s="125" t="s">
        <v>173</v>
      </c>
      <c r="D34" s="125" t="n">
        <v>2004</v>
      </c>
      <c r="E34" s="125" t="s">
        <v>168</v>
      </c>
      <c r="F34" s="125" t="s">
        <v>145</v>
      </c>
      <c r="G34" s="129" t="n">
        <v>384572</v>
      </c>
    </row>
    <row r="35" customFormat="false" ht="13.2" hidden="false" customHeight="false" outlineLevel="0" collapsed="false">
      <c r="C35" s="125" t="s">
        <v>173</v>
      </c>
      <c r="D35" s="125" t="n">
        <v>2004</v>
      </c>
      <c r="E35" s="125" t="s">
        <v>169</v>
      </c>
      <c r="F35" s="125" t="s">
        <v>145</v>
      </c>
      <c r="G35" s="129" t="n">
        <v>365813</v>
      </c>
    </row>
    <row r="36" customFormat="false" ht="13.8" hidden="false" customHeight="false" outlineLevel="0" collapsed="false">
      <c r="C36" s="125" t="s">
        <v>173</v>
      </c>
      <c r="D36" s="125" t="n">
        <v>2004</v>
      </c>
      <c r="E36" s="125" t="s">
        <v>170</v>
      </c>
      <c r="F36" s="125" t="s">
        <v>145</v>
      </c>
      <c r="G36" s="129" t="n">
        <v>396338</v>
      </c>
    </row>
    <row r="37" customFormat="false" ht="13.8" hidden="false" customHeight="false" outlineLevel="0" collapsed="false">
      <c r="C37" s="125" t="s">
        <v>173</v>
      </c>
      <c r="D37" s="125" t="n">
        <v>2004</v>
      </c>
      <c r="E37" s="125" t="s">
        <v>171</v>
      </c>
      <c r="F37" s="125" t="s">
        <v>145</v>
      </c>
      <c r="G37" s="129" t="n">
        <v>453761</v>
      </c>
    </row>
    <row r="38" customFormat="false" ht="13.8" hidden="false" customHeight="false" outlineLevel="0" collapsed="false">
      <c r="C38" s="125" t="s">
        <v>173</v>
      </c>
      <c r="D38" s="125" t="n">
        <v>2004</v>
      </c>
      <c r="E38" s="125" t="s">
        <v>172</v>
      </c>
      <c r="F38" s="125" t="s">
        <v>145</v>
      </c>
      <c r="G38" s="129" t="n">
        <v>356538</v>
      </c>
    </row>
    <row r="39" customFormat="false" ht="13.8" hidden="false" customHeight="false" outlineLevel="0" collapsed="false">
      <c r="C39" s="125" t="s">
        <v>173</v>
      </c>
      <c r="D39" s="125" t="n">
        <v>2004</v>
      </c>
      <c r="E39" s="125" t="s">
        <v>167</v>
      </c>
      <c r="F39" s="125" t="s">
        <v>146</v>
      </c>
      <c r="G39" s="128" t="n">
        <v>606332</v>
      </c>
    </row>
    <row r="40" customFormat="false" ht="13.8" hidden="false" customHeight="false" outlineLevel="0" collapsed="false">
      <c r="C40" s="125" t="s">
        <v>173</v>
      </c>
      <c r="D40" s="125" t="n">
        <v>2004</v>
      </c>
      <c r="E40" s="125" t="s">
        <v>168</v>
      </c>
      <c r="F40" s="125" t="s">
        <v>146</v>
      </c>
      <c r="G40" s="128" t="n">
        <v>535218</v>
      </c>
    </row>
    <row r="41" customFormat="false" ht="13.8" hidden="false" customHeight="false" outlineLevel="0" collapsed="false">
      <c r="C41" s="125" t="s">
        <v>173</v>
      </c>
      <c r="D41" s="125" t="n">
        <v>2004</v>
      </c>
      <c r="E41" s="125" t="s">
        <v>169</v>
      </c>
      <c r="F41" s="125" t="s">
        <v>146</v>
      </c>
      <c r="G41" s="128" t="n">
        <v>493364</v>
      </c>
    </row>
    <row r="42" customFormat="false" ht="13.8" hidden="false" customHeight="false" outlineLevel="0" collapsed="false">
      <c r="C42" s="125" t="s">
        <v>173</v>
      </c>
      <c r="D42" s="125" t="n">
        <v>2004</v>
      </c>
      <c r="E42" s="125" t="s">
        <v>170</v>
      </c>
      <c r="F42" s="125" t="s">
        <v>146</v>
      </c>
      <c r="G42" s="128" t="n">
        <v>559100</v>
      </c>
    </row>
    <row r="43" customFormat="false" ht="13.8" hidden="false" customHeight="false" outlineLevel="0" collapsed="false">
      <c r="C43" s="125" t="s">
        <v>173</v>
      </c>
      <c r="D43" s="125" t="n">
        <v>2004</v>
      </c>
      <c r="E43" s="125" t="s">
        <v>171</v>
      </c>
      <c r="F43" s="125" t="s">
        <v>146</v>
      </c>
      <c r="G43" s="128" t="n">
        <v>520592</v>
      </c>
    </row>
    <row r="44" customFormat="false" ht="13.8" hidden="false" customHeight="false" outlineLevel="0" collapsed="false">
      <c r="C44" s="125" t="s">
        <v>173</v>
      </c>
      <c r="D44" s="125" t="n">
        <v>2004</v>
      </c>
      <c r="E44" s="125" t="s">
        <v>172</v>
      </c>
      <c r="F44" s="125" t="s">
        <v>146</v>
      </c>
      <c r="G44" s="128" t="n">
        <v>476975</v>
      </c>
    </row>
    <row r="45" customFormat="false" ht="13.8" hidden="false" customHeight="false" outlineLevel="0" collapsed="false">
      <c r="C45" s="125" t="s">
        <v>174</v>
      </c>
      <c r="D45" s="125" t="n">
        <v>2004</v>
      </c>
      <c r="E45" s="125" t="s">
        <v>167</v>
      </c>
      <c r="F45" s="125" t="s">
        <v>147</v>
      </c>
      <c r="G45" s="128" t="n">
        <v>545621</v>
      </c>
    </row>
    <row r="46" customFormat="false" ht="13.8" hidden="false" customHeight="false" outlineLevel="0" collapsed="false">
      <c r="C46" s="125" t="s">
        <v>174</v>
      </c>
      <c r="D46" s="125" t="n">
        <v>2004</v>
      </c>
      <c r="E46" s="125" t="s">
        <v>168</v>
      </c>
      <c r="F46" s="125" t="s">
        <v>147</v>
      </c>
      <c r="G46" s="128" t="n">
        <v>489255</v>
      </c>
    </row>
    <row r="47" customFormat="false" ht="13.8" hidden="false" customHeight="false" outlineLevel="0" collapsed="false">
      <c r="C47" s="125" t="s">
        <v>174</v>
      </c>
      <c r="D47" s="125" t="n">
        <v>2004</v>
      </c>
      <c r="E47" s="125" t="s">
        <v>169</v>
      </c>
      <c r="F47" s="125" t="s">
        <v>147</v>
      </c>
      <c r="G47" s="128" t="n">
        <v>523124</v>
      </c>
    </row>
    <row r="48" customFormat="false" ht="13.8" hidden="false" customHeight="false" outlineLevel="0" collapsed="false">
      <c r="C48" s="125" t="s">
        <v>174</v>
      </c>
      <c r="D48" s="125" t="n">
        <v>2004</v>
      </c>
      <c r="E48" s="125" t="s">
        <v>170</v>
      </c>
      <c r="F48" s="125" t="s">
        <v>147</v>
      </c>
      <c r="G48" s="128" t="n">
        <v>612216</v>
      </c>
    </row>
    <row r="49" customFormat="false" ht="13.8" hidden="false" customHeight="false" outlineLevel="0" collapsed="false">
      <c r="C49" s="125" t="s">
        <v>174</v>
      </c>
      <c r="D49" s="125" t="n">
        <v>2004</v>
      </c>
      <c r="E49" s="125" t="s">
        <v>171</v>
      </c>
      <c r="F49" s="125" t="s">
        <v>147</v>
      </c>
      <c r="G49" s="128" t="n">
        <v>425562</v>
      </c>
    </row>
    <row r="50" customFormat="false" ht="13.8" hidden="false" customHeight="false" outlineLevel="0" collapsed="false">
      <c r="C50" s="125" t="s">
        <v>174</v>
      </c>
      <c r="D50" s="125" t="n">
        <v>2004</v>
      </c>
      <c r="E50" s="125" t="s">
        <v>172</v>
      </c>
      <c r="F50" s="125" t="s">
        <v>147</v>
      </c>
      <c r="G50" s="128" t="n">
        <v>485285</v>
      </c>
    </row>
    <row r="51" customFormat="false" ht="13.8" hidden="false" customHeight="false" outlineLevel="0" collapsed="false">
      <c r="C51" s="125" t="s">
        <v>174</v>
      </c>
      <c r="D51" s="125" t="n">
        <v>2004</v>
      </c>
      <c r="E51" s="125" t="s">
        <v>167</v>
      </c>
      <c r="F51" s="125" t="s">
        <v>145</v>
      </c>
      <c r="G51" s="129" t="n">
        <v>467173</v>
      </c>
    </row>
    <row r="52" customFormat="false" ht="13.8" hidden="false" customHeight="false" outlineLevel="0" collapsed="false">
      <c r="C52" s="125" t="s">
        <v>174</v>
      </c>
      <c r="D52" s="125" t="n">
        <v>2004</v>
      </c>
      <c r="E52" s="125" t="s">
        <v>168</v>
      </c>
      <c r="F52" s="125" t="s">
        <v>145</v>
      </c>
      <c r="G52" s="129" t="n">
        <v>447637</v>
      </c>
    </row>
    <row r="53" customFormat="false" ht="13.8" hidden="false" customHeight="false" outlineLevel="0" collapsed="false">
      <c r="C53" s="125" t="s">
        <v>174</v>
      </c>
      <c r="D53" s="125" t="n">
        <v>2004</v>
      </c>
      <c r="E53" s="125" t="s">
        <v>169</v>
      </c>
      <c r="F53" s="125" t="s">
        <v>145</v>
      </c>
      <c r="G53" s="129" t="n">
        <v>407542</v>
      </c>
    </row>
    <row r="54" customFormat="false" ht="13.8" hidden="false" customHeight="false" outlineLevel="0" collapsed="false">
      <c r="C54" s="125" t="s">
        <v>174</v>
      </c>
      <c r="D54" s="125" t="n">
        <v>2004</v>
      </c>
      <c r="E54" s="125" t="s">
        <v>170</v>
      </c>
      <c r="F54" s="125" t="s">
        <v>145</v>
      </c>
      <c r="G54" s="129" t="n">
        <v>449575</v>
      </c>
    </row>
    <row r="55" customFormat="false" ht="13.8" hidden="false" customHeight="false" outlineLevel="0" collapsed="false">
      <c r="C55" s="125" t="s">
        <v>174</v>
      </c>
      <c r="D55" s="125" t="n">
        <v>2004</v>
      </c>
      <c r="E55" s="125" t="s">
        <v>171</v>
      </c>
      <c r="F55" s="125" t="s">
        <v>145</v>
      </c>
      <c r="G55" s="129" t="n">
        <v>403248</v>
      </c>
    </row>
    <row r="56" customFormat="false" ht="13.8" hidden="false" customHeight="false" outlineLevel="0" collapsed="false">
      <c r="C56" s="125" t="s">
        <v>174</v>
      </c>
      <c r="D56" s="125" t="n">
        <v>2004</v>
      </c>
      <c r="E56" s="125" t="s">
        <v>172</v>
      </c>
      <c r="F56" s="125" t="s">
        <v>145</v>
      </c>
      <c r="G56" s="129" t="n">
        <v>449293</v>
      </c>
    </row>
    <row r="57" customFormat="false" ht="13.8" hidden="false" customHeight="false" outlineLevel="0" collapsed="false">
      <c r="C57" s="125" t="s">
        <v>174</v>
      </c>
      <c r="D57" s="125" t="n">
        <v>2004</v>
      </c>
      <c r="E57" s="125" t="s">
        <v>167</v>
      </c>
      <c r="F57" s="125" t="s">
        <v>146</v>
      </c>
      <c r="G57" s="128" t="n">
        <v>493845</v>
      </c>
    </row>
    <row r="58" customFormat="false" ht="13.8" hidden="false" customHeight="false" outlineLevel="0" collapsed="false">
      <c r="C58" s="125" t="s">
        <v>174</v>
      </c>
      <c r="D58" s="125" t="n">
        <v>2004</v>
      </c>
      <c r="E58" s="125" t="s">
        <v>168</v>
      </c>
      <c r="F58" s="125" t="s">
        <v>146</v>
      </c>
      <c r="G58" s="128" t="n">
        <v>523464</v>
      </c>
    </row>
    <row r="59" customFormat="false" ht="13.8" hidden="false" customHeight="false" outlineLevel="0" collapsed="false">
      <c r="C59" s="125" t="s">
        <v>174</v>
      </c>
      <c r="D59" s="125" t="n">
        <v>2004</v>
      </c>
      <c r="E59" s="125" t="s">
        <v>169</v>
      </c>
      <c r="F59" s="125" t="s">
        <v>146</v>
      </c>
      <c r="G59" s="128" t="n">
        <v>575692</v>
      </c>
    </row>
    <row r="60" customFormat="false" ht="13.8" hidden="false" customHeight="false" outlineLevel="0" collapsed="false">
      <c r="C60" s="125" t="s">
        <v>174</v>
      </c>
      <c r="D60" s="125" t="n">
        <v>2004</v>
      </c>
      <c r="E60" s="125" t="s">
        <v>170</v>
      </c>
      <c r="F60" s="125" t="s">
        <v>146</v>
      </c>
      <c r="G60" s="128" t="n">
        <v>568633</v>
      </c>
    </row>
    <row r="61" customFormat="false" ht="13.8" hidden="false" customHeight="false" outlineLevel="0" collapsed="false">
      <c r="C61" s="125" t="s">
        <v>174</v>
      </c>
      <c r="D61" s="125" t="n">
        <v>2004</v>
      </c>
      <c r="E61" s="125" t="s">
        <v>171</v>
      </c>
      <c r="F61" s="125" t="s">
        <v>146</v>
      </c>
      <c r="G61" s="128" t="n">
        <v>608569</v>
      </c>
    </row>
    <row r="62" customFormat="false" ht="13.8" hidden="false" customHeight="false" outlineLevel="0" collapsed="false">
      <c r="C62" s="125" t="s">
        <v>174</v>
      </c>
      <c r="D62" s="125" t="n">
        <v>2004</v>
      </c>
      <c r="E62" s="125" t="s">
        <v>172</v>
      </c>
      <c r="F62" s="125" t="s">
        <v>146</v>
      </c>
      <c r="G62" s="128" t="n">
        <v>487012</v>
      </c>
    </row>
    <row r="63" customFormat="false" ht="13.8" hidden="false" customHeight="false" outlineLevel="0" collapsed="false">
      <c r="C63" s="125" t="s">
        <v>175</v>
      </c>
      <c r="D63" s="125" t="n">
        <v>2004</v>
      </c>
      <c r="E63" s="125" t="s">
        <v>167</v>
      </c>
      <c r="F63" s="125" t="s">
        <v>147</v>
      </c>
      <c r="G63" s="128" t="n">
        <v>519177</v>
      </c>
    </row>
    <row r="64" customFormat="false" ht="13.8" hidden="false" customHeight="false" outlineLevel="0" collapsed="false">
      <c r="C64" s="125" t="s">
        <v>175</v>
      </c>
      <c r="D64" s="125" t="n">
        <v>2004</v>
      </c>
      <c r="E64" s="125" t="s">
        <v>168</v>
      </c>
      <c r="F64" s="125" t="s">
        <v>147</v>
      </c>
      <c r="G64" s="128" t="n">
        <v>488597</v>
      </c>
    </row>
    <row r="65" customFormat="false" ht="13.8" hidden="false" customHeight="false" outlineLevel="0" collapsed="false">
      <c r="C65" s="125" t="s">
        <v>175</v>
      </c>
      <c r="D65" s="125" t="n">
        <v>2004</v>
      </c>
      <c r="E65" s="125" t="s">
        <v>169</v>
      </c>
      <c r="F65" s="125" t="s">
        <v>147</v>
      </c>
      <c r="G65" s="128" t="n">
        <v>456653</v>
      </c>
    </row>
    <row r="66" customFormat="false" ht="13.8" hidden="false" customHeight="false" outlineLevel="0" collapsed="false">
      <c r="C66" s="125" t="s">
        <v>175</v>
      </c>
      <c r="D66" s="125" t="n">
        <v>2004</v>
      </c>
      <c r="E66" s="125" t="s">
        <v>170</v>
      </c>
      <c r="F66" s="125" t="s">
        <v>147</v>
      </c>
      <c r="G66" s="128" t="n">
        <v>528843</v>
      </c>
    </row>
    <row r="67" customFormat="false" ht="13.8" hidden="false" customHeight="false" outlineLevel="0" collapsed="false">
      <c r="C67" s="125" t="s">
        <v>175</v>
      </c>
      <c r="D67" s="125" t="n">
        <v>2004</v>
      </c>
      <c r="E67" s="125" t="s">
        <v>171</v>
      </c>
      <c r="F67" s="125" t="s">
        <v>147</v>
      </c>
      <c r="G67" s="128" t="n">
        <v>420782</v>
      </c>
    </row>
    <row r="68" customFormat="false" ht="13.8" hidden="false" customHeight="false" outlineLevel="0" collapsed="false">
      <c r="C68" s="125" t="s">
        <v>175</v>
      </c>
      <c r="D68" s="125" t="n">
        <v>2004</v>
      </c>
      <c r="E68" s="125" t="s">
        <v>172</v>
      </c>
      <c r="F68" s="125" t="s">
        <v>147</v>
      </c>
      <c r="G68" s="128" t="n">
        <v>439751</v>
      </c>
    </row>
    <row r="69" customFormat="false" ht="13.8" hidden="false" customHeight="false" outlineLevel="0" collapsed="false">
      <c r="C69" s="125" t="s">
        <v>175</v>
      </c>
      <c r="D69" s="125" t="n">
        <v>2004</v>
      </c>
      <c r="E69" s="125" t="s">
        <v>167</v>
      </c>
      <c r="F69" s="125" t="s">
        <v>145</v>
      </c>
      <c r="G69" s="129" t="n">
        <v>348503</v>
      </c>
    </row>
    <row r="70" customFormat="false" ht="13.8" hidden="false" customHeight="false" outlineLevel="0" collapsed="false">
      <c r="C70" s="125" t="s">
        <v>175</v>
      </c>
      <c r="D70" s="125" t="n">
        <v>2004</v>
      </c>
      <c r="E70" s="125" t="s">
        <v>168</v>
      </c>
      <c r="F70" s="125" t="s">
        <v>145</v>
      </c>
      <c r="G70" s="129" t="n">
        <v>352086</v>
      </c>
    </row>
    <row r="71" customFormat="false" ht="13.8" hidden="false" customHeight="false" outlineLevel="0" collapsed="false">
      <c r="C71" s="125" t="s">
        <v>175</v>
      </c>
      <c r="D71" s="125" t="n">
        <v>2004</v>
      </c>
      <c r="E71" s="125" t="s">
        <v>169</v>
      </c>
      <c r="F71" s="125" t="s">
        <v>145</v>
      </c>
      <c r="G71" s="129" t="n">
        <v>336824</v>
      </c>
    </row>
    <row r="72" customFormat="false" ht="13.2" hidden="false" customHeight="false" outlineLevel="0" collapsed="false">
      <c r="C72" s="125" t="s">
        <v>175</v>
      </c>
      <c r="D72" s="125" t="n">
        <v>2004</v>
      </c>
      <c r="E72" s="125" t="s">
        <v>170</v>
      </c>
      <c r="F72" s="125" t="s">
        <v>145</v>
      </c>
      <c r="G72" s="129" t="n">
        <v>350924</v>
      </c>
    </row>
    <row r="73" customFormat="false" ht="13.2" hidden="false" customHeight="false" outlineLevel="0" collapsed="false">
      <c r="C73" s="125" t="s">
        <v>175</v>
      </c>
      <c r="D73" s="125" t="n">
        <v>2004</v>
      </c>
      <c r="E73" s="125" t="s">
        <v>171</v>
      </c>
      <c r="F73" s="125" t="s">
        <v>145</v>
      </c>
      <c r="G73" s="129" t="n">
        <v>338334</v>
      </c>
    </row>
    <row r="74" customFormat="false" ht="13.2" hidden="false" customHeight="false" outlineLevel="0" collapsed="false">
      <c r="C74" s="125" t="s">
        <v>175</v>
      </c>
      <c r="D74" s="125" t="n">
        <v>2004</v>
      </c>
      <c r="E74" s="125" t="s">
        <v>172</v>
      </c>
      <c r="F74" s="125" t="s">
        <v>145</v>
      </c>
      <c r="G74" s="129" t="n">
        <v>383738</v>
      </c>
    </row>
    <row r="75" customFormat="false" ht="13.2" hidden="false" customHeight="false" outlineLevel="0" collapsed="false">
      <c r="C75" s="125" t="s">
        <v>175</v>
      </c>
      <c r="D75" s="125" t="n">
        <v>2004</v>
      </c>
      <c r="E75" s="125" t="s">
        <v>167</v>
      </c>
      <c r="F75" s="125" t="s">
        <v>146</v>
      </c>
      <c r="G75" s="128" t="n">
        <v>508939</v>
      </c>
    </row>
    <row r="76" customFormat="false" ht="13.2" hidden="false" customHeight="false" outlineLevel="0" collapsed="false">
      <c r="C76" s="125" t="s">
        <v>175</v>
      </c>
      <c r="D76" s="125" t="n">
        <v>2004</v>
      </c>
      <c r="E76" s="125" t="s">
        <v>168</v>
      </c>
      <c r="F76" s="125" t="s">
        <v>146</v>
      </c>
      <c r="G76" s="128" t="n">
        <v>393294</v>
      </c>
    </row>
    <row r="77" customFormat="false" ht="13.2" hidden="false" customHeight="false" outlineLevel="0" collapsed="false">
      <c r="C77" s="125" t="s">
        <v>175</v>
      </c>
      <c r="D77" s="125" t="n">
        <v>2004</v>
      </c>
      <c r="E77" s="125" t="s">
        <v>169</v>
      </c>
      <c r="F77" s="125" t="s">
        <v>146</v>
      </c>
      <c r="G77" s="128" t="n">
        <v>430380</v>
      </c>
    </row>
    <row r="78" customFormat="false" ht="13.2" hidden="false" customHeight="false" outlineLevel="0" collapsed="false">
      <c r="C78" s="125" t="s">
        <v>175</v>
      </c>
      <c r="D78" s="125" t="n">
        <v>2004</v>
      </c>
      <c r="E78" s="125" t="s">
        <v>170</v>
      </c>
      <c r="F78" s="125" t="s">
        <v>146</v>
      </c>
      <c r="G78" s="128" t="n">
        <v>390741</v>
      </c>
    </row>
    <row r="79" customFormat="false" ht="13.2" hidden="false" customHeight="false" outlineLevel="0" collapsed="false">
      <c r="C79" s="125" t="s">
        <v>175</v>
      </c>
      <c r="D79" s="125" t="n">
        <v>2004</v>
      </c>
      <c r="E79" s="125" t="s">
        <v>171</v>
      </c>
      <c r="F79" s="125" t="s">
        <v>146</v>
      </c>
      <c r="G79" s="128" t="n">
        <v>500437</v>
      </c>
    </row>
    <row r="80" customFormat="false" ht="13.2" hidden="false" customHeight="false" outlineLevel="0" collapsed="false">
      <c r="C80" s="125" t="s">
        <v>175</v>
      </c>
      <c r="D80" s="125" t="n">
        <v>2004</v>
      </c>
      <c r="E80" s="125" t="s">
        <v>172</v>
      </c>
      <c r="F80" s="125" t="s">
        <v>146</v>
      </c>
      <c r="G80" s="128" t="n">
        <v>522282</v>
      </c>
    </row>
    <row r="81" customFormat="false" ht="13.2" hidden="false" customHeight="false" outlineLevel="0" collapsed="false">
      <c r="C81" s="125" t="s">
        <v>166</v>
      </c>
      <c r="D81" s="125" t="n">
        <v>2005</v>
      </c>
      <c r="E81" s="125" t="s">
        <v>167</v>
      </c>
      <c r="F81" s="125" t="s">
        <v>147</v>
      </c>
      <c r="G81" s="130" t="n">
        <v>514649</v>
      </c>
      <c r="H81" s="130"/>
    </row>
    <row r="82" customFormat="false" ht="13.2" hidden="false" customHeight="false" outlineLevel="0" collapsed="false">
      <c r="C82" s="125" t="s">
        <v>166</v>
      </c>
      <c r="D82" s="125" t="n">
        <v>2005</v>
      </c>
      <c r="E82" s="125" t="s">
        <v>168</v>
      </c>
      <c r="F82" s="125" t="s">
        <v>147</v>
      </c>
      <c r="G82" s="130" t="n">
        <v>498673</v>
      </c>
      <c r="H82" s="130"/>
    </row>
    <row r="83" customFormat="false" ht="13.2" hidden="false" customHeight="false" outlineLevel="0" collapsed="false">
      <c r="C83" s="125" t="s">
        <v>166</v>
      </c>
      <c r="D83" s="125" t="n">
        <v>2005</v>
      </c>
      <c r="E83" s="125" t="s">
        <v>169</v>
      </c>
      <c r="F83" s="125" t="s">
        <v>147</v>
      </c>
      <c r="G83" s="130" t="n">
        <v>541930</v>
      </c>
      <c r="H83" s="130"/>
    </row>
    <row r="84" customFormat="false" ht="13.2" hidden="false" customHeight="false" outlineLevel="0" collapsed="false">
      <c r="C84" s="125" t="s">
        <v>166</v>
      </c>
      <c r="D84" s="125" t="n">
        <v>2005</v>
      </c>
      <c r="E84" s="125" t="s">
        <v>170</v>
      </c>
      <c r="F84" s="125" t="s">
        <v>147</v>
      </c>
      <c r="G84" s="130" t="n">
        <v>541022</v>
      </c>
      <c r="H84" s="130"/>
    </row>
    <row r="85" customFormat="false" ht="13.2" hidden="false" customHeight="false" outlineLevel="0" collapsed="false">
      <c r="C85" s="125" t="s">
        <v>166</v>
      </c>
      <c r="D85" s="125" t="n">
        <v>2005</v>
      </c>
      <c r="E85" s="125" t="s">
        <v>171</v>
      </c>
      <c r="F85" s="125" t="s">
        <v>147</v>
      </c>
      <c r="G85" s="130" t="n">
        <v>487516</v>
      </c>
      <c r="H85" s="130"/>
    </row>
    <row r="86" customFormat="false" ht="13.2" hidden="false" customHeight="false" outlineLevel="0" collapsed="false">
      <c r="C86" s="125" t="s">
        <v>166</v>
      </c>
      <c r="D86" s="125" t="n">
        <v>2005</v>
      </c>
      <c r="E86" s="125" t="s">
        <v>172</v>
      </c>
      <c r="F86" s="125" t="s">
        <v>147</v>
      </c>
      <c r="G86" s="130" t="n">
        <v>558787</v>
      </c>
      <c r="H86" s="130"/>
    </row>
    <row r="87" customFormat="false" ht="13.2" hidden="false" customHeight="false" outlineLevel="0" collapsed="false">
      <c r="C87" s="125" t="s">
        <v>166</v>
      </c>
      <c r="D87" s="125" t="n">
        <v>2005</v>
      </c>
      <c r="E87" s="125" t="s">
        <v>167</v>
      </c>
      <c r="F87" s="125" t="s">
        <v>145</v>
      </c>
      <c r="G87" s="130" t="n">
        <v>393690</v>
      </c>
      <c r="H87" s="130"/>
    </row>
    <row r="88" customFormat="false" ht="13.2" hidden="false" customHeight="false" outlineLevel="0" collapsed="false">
      <c r="C88" s="125" t="s">
        <v>166</v>
      </c>
      <c r="D88" s="125" t="n">
        <v>2005</v>
      </c>
      <c r="E88" s="125" t="s">
        <v>168</v>
      </c>
      <c r="F88" s="125" t="s">
        <v>145</v>
      </c>
      <c r="G88" s="130" t="n">
        <v>427784</v>
      </c>
      <c r="H88" s="130"/>
    </row>
    <row r="89" customFormat="false" ht="13.2" hidden="false" customHeight="false" outlineLevel="0" collapsed="false">
      <c r="C89" s="125" t="s">
        <v>166</v>
      </c>
      <c r="D89" s="125" t="n">
        <v>2005</v>
      </c>
      <c r="E89" s="125" t="s">
        <v>169</v>
      </c>
      <c r="F89" s="125" t="s">
        <v>145</v>
      </c>
      <c r="G89" s="130" t="n">
        <v>386772</v>
      </c>
      <c r="H89" s="130"/>
    </row>
    <row r="90" customFormat="false" ht="13.2" hidden="false" customHeight="false" outlineLevel="0" collapsed="false">
      <c r="C90" s="125" t="s">
        <v>166</v>
      </c>
      <c r="D90" s="125" t="n">
        <v>2005</v>
      </c>
      <c r="E90" s="125" t="s">
        <v>170</v>
      </c>
      <c r="F90" s="125" t="s">
        <v>145</v>
      </c>
      <c r="G90" s="130" t="n">
        <v>430461</v>
      </c>
      <c r="H90" s="130"/>
    </row>
    <row r="91" customFormat="false" ht="13.2" hidden="false" customHeight="false" outlineLevel="0" collapsed="false">
      <c r="C91" s="125" t="s">
        <v>166</v>
      </c>
      <c r="D91" s="125" t="n">
        <v>2005</v>
      </c>
      <c r="E91" s="125" t="s">
        <v>171</v>
      </c>
      <c r="F91" s="125" t="s">
        <v>145</v>
      </c>
      <c r="G91" s="130" t="n">
        <v>481311</v>
      </c>
      <c r="H91" s="130"/>
    </row>
    <row r="92" customFormat="false" ht="13.2" hidden="false" customHeight="false" outlineLevel="0" collapsed="false">
      <c r="C92" s="125" t="s">
        <v>166</v>
      </c>
      <c r="D92" s="125" t="n">
        <v>2005</v>
      </c>
      <c r="E92" s="125" t="s">
        <v>172</v>
      </c>
      <c r="F92" s="125" t="s">
        <v>145</v>
      </c>
      <c r="G92" s="130" t="n">
        <v>529637</v>
      </c>
      <c r="H92" s="130"/>
    </row>
    <row r="93" customFormat="false" ht="13.2" hidden="false" customHeight="false" outlineLevel="0" collapsed="false">
      <c r="C93" s="125" t="s">
        <v>166</v>
      </c>
      <c r="D93" s="125" t="n">
        <v>2005</v>
      </c>
      <c r="E93" s="125" t="s">
        <v>167</v>
      </c>
      <c r="F93" s="125" t="s">
        <v>146</v>
      </c>
      <c r="G93" s="130" t="n">
        <v>596707</v>
      </c>
      <c r="H93" s="130"/>
    </row>
    <row r="94" customFormat="false" ht="13.2" hidden="false" customHeight="false" outlineLevel="0" collapsed="false">
      <c r="C94" s="125" t="s">
        <v>166</v>
      </c>
      <c r="D94" s="125" t="n">
        <v>2005</v>
      </c>
      <c r="E94" s="125" t="s">
        <v>168</v>
      </c>
      <c r="F94" s="125" t="s">
        <v>146</v>
      </c>
      <c r="G94" s="130" t="n">
        <v>541275</v>
      </c>
      <c r="H94" s="130"/>
    </row>
    <row r="95" customFormat="false" ht="13.2" hidden="false" customHeight="false" outlineLevel="0" collapsed="false">
      <c r="C95" s="125" t="s">
        <v>166</v>
      </c>
      <c r="D95" s="125" t="n">
        <v>2005</v>
      </c>
      <c r="E95" s="125" t="s">
        <v>169</v>
      </c>
      <c r="F95" s="125" t="s">
        <v>146</v>
      </c>
      <c r="G95" s="130" t="n">
        <v>574091</v>
      </c>
      <c r="H95" s="130"/>
    </row>
    <row r="96" customFormat="false" ht="13.2" hidden="false" customHeight="false" outlineLevel="0" collapsed="false">
      <c r="C96" s="125" t="s">
        <v>166</v>
      </c>
      <c r="D96" s="125" t="n">
        <v>2005</v>
      </c>
      <c r="E96" s="125" t="s">
        <v>170</v>
      </c>
      <c r="F96" s="125" t="s">
        <v>146</v>
      </c>
      <c r="G96" s="130" t="n">
        <v>567246</v>
      </c>
      <c r="H96" s="130"/>
    </row>
    <row r="97" customFormat="false" ht="13.2" hidden="false" customHeight="false" outlineLevel="0" collapsed="false">
      <c r="C97" s="125" t="s">
        <v>166</v>
      </c>
      <c r="D97" s="125" t="n">
        <v>2005</v>
      </c>
      <c r="E97" s="125" t="s">
        <v>171</v>
      </c>
      <c r="F97" s="125" t="s">
        <v>146</v>
      </c>
      <c r="G97" s="130" t="n">
        <v>530193</v>
      </c>
      <c r="H97" s="130"/>
    </row>
    <row r="98" customFormat="false" ht="13.2" hidden="false" customHeight="false" outlineLevel="0" collapsed="false">
      <c r="C98" s="125" t="s">
        <v>166</v>
      </c>
      <c r="D98" s="125" t="n">
        <v>2005</v>
      </c>
      <c r="E98" s="125" t="s">
        <v>172</v>
      </c>
      <c r="F98" s="125" t="s">
        <v>146</v>
      </c>
      <c r="G98" s="130" t="n">
        <v>475884</v>
      </c>
      <c r="H98" s="130"/>
    </row>
    <row r="99" customFormat="false" ht="13.2" hidden="false" customHeight="false" outlineLevel="0" collapsed="false">
      <c r="C99" s="125" t="s">
        <v>173</v>
      </c>
      <c r="D99" s="125" t="n">
        <v>2005</v>
      </c>
      <c r="E99" s="125" t="s">
        <v>167</v>
      </c>
      <c r="F99" s="125" t="s">
        <v>147</v>
      </c>
      <c r="G99" s="130" t="n">
        <v>533691</v>
      </c>
      <c r="H99" s="130"/>
    </row>
    <row r="100" customFormat="false" ht="13.2" hidden="false" customHeight="false" outlineLevel="0" collapsed="false">
      <c r="C100" s="125" t="s">
        <v>173</v>
      </c>
      <c r="D100" s="125" t="n">
        <v>2005</v>
      </c>
      <c r="E100" s="125" t="s">
        <v>168</v>
      </c>
      <c r="F100" s="125" t="s">
        <v>147</v>
      </c>
      <c r="G100" s="130" t="n">
        <v>534352</v>
      </c>
      <c r="H100" s="130"/>
    </row>
    <row r="101" customFormat="false" ht="13.2" hidden="false" customHeight="false" outlineLevel="0" collapsed="false">
      <c r="C101" s="125" t="s">
        <v>173</v>
      </c>
      <c r="D101" s="125" t="n">
        <v>2005</v>
      </c>
      <c r="E101" s="125" t="s">
        <v>169</v>
      </c>
      <c r="F101" s="125" t="s">
        <v>147</v>
      </c>
      <c r="G101" s="130" t="n">
        <v>588845</v>
      </c>
      <c r="H101" s="130"/>
    </row>
    <row r="102" customFormat="false" ht="13.2" hidden="false" customHeight="false" outlineLevel="0" collapsed="false">
      <c r="C102" s="125" t="s">
        <v>173</v>
      </c>
      <c r="D102" s="125" t="n">
        <v>2005</v>
      </c>
      <c r="E102" s="125" t="s">
        <v>170</v>
      </c>
      <c r="F102" s="125" t="s">
        <v>147</v>
      </c>
      <c r="G102" s="130" t="n">
        <v>513750</v>
      </c>
      <c r="H102" s="130"/>
    </row>
    <row r="103" customFormat="false" ht="13.2" hidden="false" customHeight="false" outlineLevel="0" collapsed="false">
      <c r="C103" s="125" t="s">
        <v>173</v>
      </c>
      <c r="D103" s="125" t="n">
        <v>2005</v>
      </c>
      <c r="E103" s="125" t="s">
        <v>171</v>
      </c>
      <c r="F103" s="125" t="s">
        <v>147</v>
      </c>
      <c r="G103" s="130" t="n">
        <v>516692</v>
      </c>
      <c r="H103" s="130"/>
    </row>
    <row r="104" customFormat="false" ht="13.2" hidden="false" customHeight="false" outlineLevel="0" collapsed="false">
      <c r="C104" s="125" t="s">
        <v>173</v>
      </c>
      <c r="D104" s="125" t="n">
        <v>2005</v>
      </c>
      <c r="E104" s="125" t="s">
        <v>172</v>
      </c>
      <c r="F104" s="125" t="s">
        <v>147</v>
      </c>
      <c r="G104" s="130" t="n">
        <v>539883</v>
      </c>
      <c r="H104" s="130"/>
    </row>
    <row r="105" customFormat="false" ht="13.2" hidden="false" customHeight="false" outlineLevel="0" collapsed="false">
      <c r="C105" s="125" t="s">
        <v>173</v>
      </c>
      <c r="D105" s="125" t="n">
        <v>2005</v>
      </c>
      <c r="E105" s="125" t="s">
        <v>167</v>
      </c>
      <c r="F105" s="125" t="s">
        <v>145</v>
      </c>
      <c r="G105" s="130" t="n">
        <v>418483</v>
      </c>
      <c r="H105" s="130"/>
    </row>
    <row r="106" customFormat="false" ht="13.2" hidden="false" customHeight="false" outlineLevel="0" collapsed="false">
      <c r="C106" s="125" t="s">
        <v>173</v>
      </c>
      <c r="D106" s="125" t="n">
        <v>2005</v>
      </c>
      <c r="E106" s="125" t="s">
        <v>168</v>
      </c>
      <c r="F106" s="125" t="s">
        <v>145</v>
      </c>
      <c r="G106" s="130" t="n">
        <v>452955</v>
      </c>
      <c r="H106" s="130"/>
    </row>
    <row r="107" customFormat="false" ht="13.2" hidden="false" customHeight="false" outlineLevel="0" collapsed="false">
      <c r="C107" s="125" t="s">
        <v>173</v>
      </c>
      <c r="D107" s="125" t="n">
        <v>2005</v>
      </c>
      <c r="E107" s="125" t="s">
        <v>169</v>
      </c>
      <c r="F107" s="125" t="s">
        <v>145</v>
      </c>
      <c r="G107" s="130" t="n">
        <v>432909</v>
      </c>
      <c r="H107" s="130"/>
    </row>
    <row r="108" customFormat="false" ht="13.2" hidden="false" customHeight="false" outlineLevel="0" collapsed="false">
      <c r="C108" s="125" t="s">
        <v>173</v>
      </c>
      <c r="D108" s="125" t="n">
        <v>2005</v>
      </c>
      <c r="E108" s="125" t="s">
        <v>170</v>
      </c>
      <c r="F108" s="125" t="s">
        <v>145</v>
      </c>
      <c r="G108" s="130" t="n">
        <v>493853</v>
      </c>
      <c r="H108" s="130"/>
    </row>
    <row r="109" customFormat="false" ht="13.2" hidden="false" customHeight="false" outlineLevel="0" collapsed="false">
      <c r="C109" s="125" t="s">
        <v>173</v>
      </c>
      <c r="D109" s="125" t="n">
        <v>2005</v>
      </c>
      <c r="E109" s="125" t="s">
        <v>171</v>
      </c>
      <c r="F109" s="125" t="s">
        <v>145</v>
      </c>
      <c r="G109" s="130" t="n">
        <v>393368</v>
      </c>
      <c r="H109" s="130"/>
    </row>
    <row r="110" customFormat="false" ht="13.2" hidden="false" customHeight="false" outlineLevel="0" collapsed="false">
      <c r="C110" s="125" t="s">
        <v>173</v>
      </c>
      <c r="D110" s="125" t="n">
        <v>2005</v>
      </c>
      <c r="E110" s="125" t="s">
        <v>172</v>
      </c>
      <c r="F110" s="125" t="s">
        <v>145</v>
      </c>
      <c r="G110" s="130" t="n">
        <v>405946</v>
      </c>
      <c r="H110" s="130"/>
    </row>
    <row r="111" customFormat="false" ht="13.2" hidden="false" customHeight="false" outlineLevel="0" collapsed="false">
      <c r="C111" s="125" t="s">
        <v>173</v>
      </c>
      <c r="D111" s="125" t="n">
        <v>2005</v>
      </c>
      <c r="E111" s="125" t="s">
        <v>167</v>
      </c>
      <c r="F111" s="125" t="s">
        <v>146</v>
      </c>
      <c r="G111" s="130" t="n">
        <v>561874</v>
      </c>
      <c r="H111" s="130"/>
    </row>
    <row r="112" customFormat="false" ht="13.2" hidden="false" customHeight="false" outlineLevel="0" collapsed="false">
      <c r="C112" s="125" t="s">
        <v>173</v>
      </c>
      <c r="D112" s="125" t="n">
        <v>2005</v>
      </c>
      <c r="E112" s="125" t="s">
        <v>168</v>
      </c>
      <c r="F112" s="125" t="s">
        <v>146</v>
      </c>
      <c r="G112" s="130" t="n">
        <v>544747</v>
      </c>
      <c r="H112" s="130"/>
    </row>
    <row r="113" customFormat="false" ht="13.2" hidden="false" customHeight="false" outlineLevel="0" collapsed="false">
      <c r="C113" s="125" t="s">
        <v>173</v>
      </c>
      <c r="D113" s="125" t="n">
        <v>2005</v>
      </c>
      <c r="E113" s="125" t="s">
        <v>169</v>
      </c>
      <c r="F113" s="125" t="s">
        <v>146</v>
      </c>
      <c r="G113" s="130" t="n">
        <v>470339</v>
      </c>
      <c r="H113" s="130"/>
    </row>
    <row r="114" customFormat="false" ht="13.2" hidden="false" customHeight="false" outlineLevel="0" collapsed="false">
      <c r="C114" s="125" t="s">
        <v>173</v>
      </c>
      <c r="D114" s="125" t="n">
        <v>2005</v>
      </c>
      <c r="E114" s="125" t="s">
        <v>170</v>
      </c>
      <c r="F114" s="125" t="s">
        <v>146</v>
      </c>
      <c r="G114" s="130" t="n">
        <v>530410</v>
      </c>
      <c r="H114" s="130"/>
    </row>
    <row r="115" customFormat="false" ht="13.2" hidden="false" customHeight="false" outlineLevel="0" collapsed="false">
      <c r="C115" s="125" t="s">
        <v>173</v>
      </c>
      <c r="D115" s="125" t="n">
        <v>2005</v>
      </c>
      <c r="E115" s="125" t="s">
        <v>171</v>
      </c>
      <c r="F115" s="125" t="s">
        <v>146</v>
      </c>
      <c r="G115" s="130" t="n">
        <v>455378</v>
      </c>
      <c r="H115" s="130"/>
    </row>
    <row r="116" customFormat="false" ht="13.2" hidden="false" customHeight="false" outlineLevel="0" collapsed="false">
      <c r="C116" s="125" t="s">
        <v>173</v>
      </c>
      <c r="D116" s="125" t="n">
        <v>2005</v>
      </c>
      <c r="E116" s="125" t="s">
        <v>172</v>
      </c>
      <c r="F116" s="125" t="s">
        <v>146</v>
      </c>
      <c r="G116" s="130" t="n">
        <v>668180</v>
      </c>
      <c r="H116" s="130"/>
    </row>
    <row r="117" customFormat="false" ht="13.2" hidden="false" customHeight="false" outlineLevel="0" collapsed="false">
      <c r="C117" s="125" t="s">
        <v>174</v>
      </c>
      <c r="D117" s="125" t="n">
        <v>2005</v>
      </c>
      <c r="E117" s="125" t="s">
        <v>167</v>
      </c>
      <c r="F117" s="125" t="s">
        <v>147</v>
      </c>
      <c r="G117" s="130" t="n">
        <v>597626</v>
      </c>
      <c r="H117" s="130"/>
    </row>
    <row r="118" customFormat="false" ht="13.2" hidden="false" customHeight="false" outlineLevel="0" collapsed="false">
      <c r="C118" s="125" t="s">
        <v>174</v>
      </c>
      <c r="D118" s="125" t="n">
        <v>2005</v>
      </c>
      <c r="E118" s="125" t="s">
        <v>168</v>
      </c>
      <c r="F118" s="125" t="s">
        <v>147</v>
      </c>
      <c r="G118" s="130" t="n">
        <v>612909</v>
      </c>
      <c r="H118" s="130"/>
    </row>
    <row r="119" customFormat="false" ht="13.2" hidden="false" customHeight="false" outlineLevel="0" collapsed="false">
      <c r="C119" s="125" t="s">
        <v>174</v>
      </c>
      <c r="D119" s="125" t="n">
        <v>2005</v>
      </c>
      <c r="E119" s="125" t="s">
        <v>169</v>
      </c>
      <c r="F119" s="125" t="s">
        <v>147</v>
      </c>
      <c r="G119" s="130" t="n">
        <v>585669</v>
      </c>
      <c r="H119" s="130"/>
    </row>
    <row r="120" customFormat="false" ht="13.2" hidden="false" customHeight="false" outlineLevel="0" collapsed="false">
      <c r="C120" s="125" t="s">
        <v>174</v>
      </c>
      <c r="D120" s="125" t="n">
        <v>2005</v>
      </c>
      <c r="E120" s="125" t="s">
        <v>170</v>
      </c>
      <c r="F120" s="125" t="s">
        <v>147</v>
      </c>
      <c r="G120" s="130" t="n">
        <v>641282</v>
      </c>
      <c r="H120" s="130"/>
    </row>
    <row r="121" customFormat="false" ht="13.2" hidden="false" customHeight="false" outlineLevel="0" collapsed="false">
      <c r="C121" s="125" t="s">
        <v>174</v>
      </c>
      <c r="D121" s="125" t="n">
        <v>2005</v>
      </c>
      <c r="E121" s="125" t="s">
        <v>171</v>
      </c>
      <c r="F121" s="125" t="s">
        <v>147</v>
      </c>
      <c r="G121" s="130" t="n">
        <v>447013</v>
      </c>
      <c r="H121" s="130"/>
    </row>
    <row r="122" customFormat="false" ht="13.2" hidden="false" customHeight="false" outlineLevel="0" collapsed="false">
      <c r="C122" s="125" t="s">
        <v>174</v>
      </c>
      <c r="D122" s="125" t="n">
        <v>2005</v>
      </c>
      <c r="E122" s="125" t="s">
        <v>172</v>
      </c>
      <c r="F122" s="125" t="s">
        <v>147</v>
      </c>
      <c r="G122" s="130" t="n">
        <v>476238</v>
      </c>
      <c r="H122" s="130"/>
    </row>
    <row r="123" customFormat="false" ht="13.2" hidden="false" customHeight="false" outlineLevel="0" collapsed="false">
      <c r="C123" s="125" t="s">
        <v>174</v>
      </c>
      <c r="D123" s="125" t="n">
        <v>2005</v>
      </c>
      <c r="E123" s="125" t="s">
        <v>167</v>
      </c>
      <c r="F123" s="125" t="s">
        <v>145</v>
      </c>
      <c r="G123" s="130" t="n">
        <v>421466</v>
      </c>
      <c r="H123" s="130"/>
    </row>
    <row r="124" customFormat="false" ht="13.2" hidden="false" customHeight="false" outlineLevel="0" collapsed="false">
      <c r="C124" s="125" t="s">
        <v>174</v>
      </c>
      <c r="D124" s="125" t="n">
        <v>2005</v>
      </c>
      <c r="E124" s="125" t="s">
        <v>168</v>
      </c>
      <c r="F124" s="125" t="s">
        <v>145</v>
      </c>
      <c r="G124" s="130" t="n">
        <v>427983</v>
      </c>
      <c r="H124" s="130"/>
    </row>
    <row r="125" customFormat="false" ht="13.2" hidden="false" customHeight="false" outlineLevel="0" collapsed="false">
      <c r="C125" s="125" t="s">
        <v>174</v>
      </c>
      <c r="D125" s="125" t="n">
        <v>2005</v>
      </c>
      <c r="E125" s="125" t="s">
        <v>169</v>
      </c>
      <c r="F125" s="125" t="s">
        <v>145</v>
      </c>
      <c r="G125" s="130" t="n">
        <v>429498</v>
      </c>
      <c r="H125" s="130"/>
    </row>
    <row r="126" customFormat="false" ht="13.2" hidden="false" customHeight="false" outlineLevel="0" collapsed="false">
      <c r="C126" s="125" t="s">
        <v>174</v>
      </c>
      <c r="D126" s="125" t="n">
        <v>2005</v>
      </c>
      <c r="E126" s="125" t="s">
        <v>170</v>
      </c>
      <c r="F126" s="125" t="s">
        <v>145</v>
      </c>
      <c r="G126" s="130" t="n">
        <v>544597</v>
      </c>
      <c r="H126" s="130"/>
    </row>
    <row r="127" customFormat="false" ht="13.2" hidden="false" customHeight="false" outlineLevel="0" collapsed="false">
      <c r="C127" s="125" t="s">
        <v>174</v>
      </c>
      <c r="D127" s="125" t="n">
        <v>2005</v>
      </c>
      <c r="E127" s="125" t="s">
        <v>171</v>
      </c>
      <c r="F127" s="125" t="s">
        <v>145</v>
      </c>
      <c r="G127" s="130" t="n">
        <v>446014</v>
      </c>
      <c r="H127" s="130"/>
    </row>
    <row r="128" customFormat="false" ht="13.2" hidden="false" customHeight="false" outlineLevel="0" collapsed="false">
      <c r="C128" s="125" t="s">
        <v>174</v>
      </c>
      <c r="D128" s="125" t="n">
        <v>2005</v>
      </c>
      <c r="E128" s="125" t="s">
        <v>172</v>
      </c>
      <c r="F128" s="125" t="s">
        <v>145</v>
      </c>
      <c r="G128" s="130" t="n">
        <v>487611</v>
      </c>
      <c r="H128" s="130"/>
    </row>
    <row r="129" customFormat="false" ht="13.2" hidden="false" customHeight="false" outlineLevel="0" collapsed="false">
      <c r="C129" s="125" t="s">
        <v>174</v>
      </c>
      <c r="D129" s="125" t="n">
        <v>2005</v>
      </c>
      <c r="E129" s="125" t="s">
        <v>167</v>
      </c>
      <c r="F129" s="125" t="s">
        <v>146</v>
      </c>
      <c r="G129" s="130" t="n">
        <v>565106</v>
      </c>
      <c r="H129" s="130"/>
    </row>
    <row r="130" customFormat="false" ht="13.2" hidden="false" customHeight="false" outlineLevel="0" collapsed="false">
      <c r="C130" s="125" t="s">
        <v>174</v>
      </c>
      <c r="D130" s="125" t="n">
        <v>2005</v>
      </c>
      <c r="E130" s="125" t="s">
        <v>168</v>
      </c>
      <c r="F130" s="125" t="s">
        <v>146</v>
      </c>
      <c r="G130" s="130" t="n">
        <v>567487</v>
      </c>
      <c r="H130" s="130"/>
    </row>
    <row r="131" customFormat="false" ht="13.2" hidden="false" customHeight="false" outlineLevel="0" collapsed="false">
      <c r="C131" s="125" t="s">
        <v>174</v>
      </c>
      <c r="D131" s="125" t="n">
        <v>2005</v>
      </c>
      <c r="E131" s="125" t="s">
        <v>169</v>
      </c>
      <c r="F131" s="125" t="s">
        <v>146</v>
      </c>
      <c r="G131" s="130" t="n">
        <v>538648</v>
      </c>
      <c r="H131" s="130"/>
    </row>
    <row r="132" customFormat="false" ht="13.2" hidden="false" customHeight="false" outlineLevel="0" collapsed="false">
      <c r="C132" s="125" t="s">
        <v>174</v>
      </c>
      <c r="D132" s="125" t="n">
        <v>2005</v>
      </c>
      <c r="E132" s="125" t="s">
        <v>170</v>
      </c>
      <c r="F132" s="125" t="s">
        <v>146</v>
      </c>
      <c r="G132" s="130" t="n">
        <v>708608</v>
      </c>
      <c r="H132" s="130"/>
    </row>
    <row r="133" customFormat="false" ht="13.2" hidden="false" customHeight="false" outlineLevel="0" collapsed="false">
      <c r="C133" s="125" t="s">
        <v>174</v>
      </c>
      <c r="D133" s="125" t="n">
        <v>2005</v>
      </c>
      <c r="E133" s="125" t="s">
        <v>171</v>
      </c>
      <c r="F133" s="125" t="s">
        <v>146</v>
      </c>
      <c r="G133" s="130" t="n">
        <v>634104</v>
      </c>
      <c r="H133" s="130"/>
    </row>
    <row r="134" customFormat="false" ht="13.2" hidden="false" customHeight="false" outlineLevel="0" collapsed="false">
      <c r="C134" s="125" t="s">
        <v>174</v>
      </c>
      <c r="D134" s="125" t="n">
        <v>2005</v>
      </c>
      <c r="E134" s="125" t="s">
        <v>172</v>
      </c>
      <c r="F134" s="125" t="s">
        <v>146</v>
      </c>
      <c r="G134" s="130" t="n">
        <v>522179</v>
      </c>
      <c r="H134" s="130"/>
    </row>
    <row r="135" customFormat="false" ht="13.2" hidden="false" customHeight="false" outlineLevel="0" collapsed="false">
      <c r="C135" s="125" t="s">
        <v>175</v>
      </c>
      <c r="D135" s="125" t="n">
        <v>2005</v>
      </c>
      <c r="E135" s="125" t="s">
        <v>167</v>
      </c>
      <c r="F135" s="125" t="s">
        <v>147</v>
      </c>
      <c r="G135" s="128" t="n">
        <v>511406</v>
      </c>
      <c r="H135" s="130"/>
    </row>
    <row r="136" customFormat="false" ht="13.2" hidden="false" customHeight="false" outlineLevel="0" collapsed="false">
      <c r="C136" s="125" t="s">
        <v>175</v>
      </c>
      <c r="D136" s="125" t="n">
        <v>2005</v>
      </c>
      <c r="E136" s="125" t="s">
        <v>168</v>
      </c>
      <c r="F136" s="125" t="s">
        <v>147</v>
      </c>
      <c r="G136" s="128" t="n">
        <v>487020</v>
      </c>
      <c r="H136" s="130"/>
    </row>
    <row r="137" customFormat="false" ht="13.2" hidden="false" customHeight="false" outlineLevel="0" collapsed="false">
      <c r="C137" s="125" t="s">
        <v>175</v>
      </c>
      <c r="D137" s="125" t="n">
        <v>2005</v>
      </c>
      <c r="E137" s="125" t="s">
        <v>169</v>
      </c>
      <c r="F137" s="125" t="s">
        <v>147</v>
      </c>
      <c r="G137" s="128" t="n">
        <v>563504</v>
      </c>
      <c r="H137" s="130"/>
    </row>
    <row r="138" customFormat="false" ht="13.2" hidden="false" customHeight="false" outlineLevel="0" collapsed="false">
      <c r="C138" s="125" t="s">
        <v>175</v>
      </c>
      <c r="D138" s="125" t="n">
        <v>2005</v>
      </c>
      <c r="E138" s="125" t="s">
        <v>170</v>
      </c>
      <c r="F138" s="125" t="s">
        <v>147</v>
      </c>
      <c r="G138" s="128" t="n">
        <v>565428</v>
      </c>
      <c r="H138" s="130"/>
    </row>
    <row r="139" customFormat="false" ht="13.2" hidden="false" customHeight="false" outlineLevel="0" collapsed="false">
      <c r="C139" s="125" t="s">
        <v>175</v>
      </c>
      <c r="D139" s="125" t="n">
        <v>2005</v>
      </c>
      <c r="E139" s="125" t="s">
        <v>171</v>
      </c>
      <c r="F139" s="125" t="s">
        <v>147</v>
      </c>
      <c r="G139" s="128" t="n">
        <v>380743</v>
      </c>
      <c r="H139" s="130"/>
    </row>
    <row r="140" customFormat="false" ht="13.2" hidden="false" customHeight="false" outlineLevel="0" collapsed="false">
      <c r="C140" s="125" t="s">
        <v>175</v>
      </c>
      <c r="D140" s="125" t="n">
        <v>2005</v>
      </c>
      <c r="E140" s="125" t="s">
        <v>172</v>
      </c>
      <c r="F140" s="125" t="s">
        <v>147</v>
      </c>
      <c r="G140" s="128" t="n">
        <v>351971</v>
      </c>
      <c r="H140" s="130"/>
    </row>
    <row r="141" customFormat="false" ht="13.2" hidden="false" customHeight="false" outlineLevel="0" collapsed="false">
      <c r="C141" s="125" t="s">
        <v>175</v>
      </c>
      <c r="D141" s="125" t="n">
        <v>2005</v>
      </c>
      <c r="E141" s="125" t="s">
        <v>167</v>
      </c>
      <c r="F141" s="125" t="s">
        <v>145</v>
      </c>
      <c r="G141" s="129" t="n">
        <v>388646</v>
      </c>
      <c r="H141" s="130"/>
    </row>
    <row r="142" customFormat="false" ht="13.2" hidden="false" customHeight="false" outlineLevel="0" collapsed="false">
      <c r="C142" s="125" t="s">
        <v>175</v>
      </c>
      <c r="D142" s="125" t="n">
        <v>2005</v>
      </c>
      <c r="E142" s="125" t="s">
        <v>168</v>
      </c>
      <c r="F142" s="125" t="s">
        <v>145</v>
      </c>
      <c r="G142" s="129" t="n">
        <v>337401</v>
      </c>
      <c r="H142" s="130"/>
    </row>
    <row r="143" customFormat="false" ht="13.2" hidden="false" customHeight="false" outlineLevel="0" collapsed="false">
      <c r="C143" s="125" t="s">
        <v>175</v>
      </c>
      <c r="D143" s="125" t="n">
        <v>2005</v>
      </c>
      <c r="E143" s="125" t="s">
        <v>169</v>
      </c>
      <c r="F143" s="125" t="s">
        <v>145</v>
      </c>
      <c r="G143" s="129" t="n">
        <v>441713</v>
      </c>
      <c r="H143" s="130"/>
    </row>
    <row r="144" customFormat="false" ht="13.2" hidden="false" customHeight="false" outlineLevel="0" collapsed="false">
      <c r="C144" s="125" t="s">
        <v>175</v>
      </c>
      <c r="D144" s="125" t="n">
        <v>2005</v>
      </c>
      <c r="E144" s="125" t="s">
        <v>170</v>
      </c>
      <c r="F144" s="125" t="s">
        <v>145</v>
      </c>
      <c r="G144" s="129" t="n">
        <v>438764</v>
      </c>
      <c r="H144" s="130"/>
    </row>
    <row r="145" customFormat="false" ht="13.2" hidden="false" customHeight="false" outlineLevel="0" collapsed="false">
      <c r="C145" s="125" t="s">
        <v>175</v>
      </c>
      <c r="D145" s="125" t="n">
        <v>2005</v>
      </c>
      <c r="E145" s="125" t="s">
        <v>171</v>
      </c>
      <c r="F145" s="125" t="s">
        <v>145</v>
      </c>
      <c r="G145" s="129" t="n">
        <v>378201</v>
      </c>
      <c r="H145" s="130"/>
    </row>
    <row r="146" customFormat="false" ht="13.2" hidden="false" customHeight="false" outlineLevel="0" collapsed="false">
      <c r="C146" s="125" t="s">
        <v>175</v>
      </c>
      <c r="D146" s="125" t="n">
        <v>2005</v>
      </c>
      <c r="E146" s="125" t="s">
        <v>172</v>
      </c>
      <c r="F146" s="125" t="s">
        <v>145</v>
      </c>
      <c r="G146" s="129" t="n">
        <v>413519</v>
      </c>
      <c r="H146" s="130"/>
    </row>
    <row r="147" customFormat="false" ht="13.2" hidden="false" customHeight="false" outlineLevel="0" collapsed="false">
      <c r="C147" s="125" t="s">
        <v>175</v>
      </c>
      <c r="D147" s="125" t="n">
        <v>2005</v>
      </c>
      <c r="E147" s="125" t="s">
        <v>167</v>
      </c>
      <c r="F147" s="125" t="s">
        <v>146</v>
      </c>
      <c r="G147" s="128" t="n">
        <v>516512</v>
      </c>
      <c r="H147" s="130"/>
    </row>
    <row r="148" customFormat="false" ht="13.2" hidden="false" customHeight="false" outlineLevel="0" collapsed="false">
      <c r="C148" s="125" t="s">
        <v>175</v>
      </c>
      <c r="D148" s="125" t="n">
        <v>2005</v>
      </c>
      <c r="E148" s="125" t="s">
        <v>168</v>
      </c>
      <c r="F148" s="125" t="s">
        <v>146</v>
      </c>
      <c r="G148" s="128" t="n">
        <v>494282</v>
      </c>
      <c r="H148" s="130"/>
    </row>
    <row r="149" customFormat="false" ht="13.2" hidden="false" customHeight="false" outlineLevel="0" collapsed="false">
      <c r="C149" s="125" t="s">
        <v>175</v>
      </c>
      <c r="D149" s="125" t="n">
        <v>2005</v>
      </c>
      <c r="E149" s="125" t="s">
        <v>169</v>
      </c>
      <c r="F149" s="125" t="s">
        <v>146</v>
      </c>
      <c r="G149" s="128" t="n">
        <v>538958</v>
      </c>
      <c r="H149" s="130"/>
    </row>
    <row r="150" customFormat="false" ht="13.2" hidden="false" customHeight="false" outlineLevel="0" collapsed="false">
      <c r="C150" s="125" t="s">
        <v>175</v>
      </c>
      <c r="D150" s="125" t="n">
        <v>2005</v>
      </c>
      <c r="E150" s="125" t="s">
        <v>170</v>
      </c>
      <c r="F150" s="125" t="s">
        <v>146</v>
      </c>
      <c r="G150" s="128" t="n">
        <v>502214</v>
      </c>
      <c r="H150" s="130"/>
    </row>
    <row r="151" customFormat="false" ht="13.2" hidden="false" customHeight="false" outlineLevel="0" collapsed="false">
      <c r="C151" s="125" t="s">
        <v>175</v>
      </c>
      <c r="D151" s="125" t="n">
        <v>2005</v>
      </c>
      <c r="E151" s="125" t="s">
        <v>171</v>
      </c>
      <c r="F151" s="125" t="s">
        <v>146</v>
      </c>
      <c r="G151" s="128" t="n">
        <v>539525</v>
      </c>
      <c r="H151" s="130"/>
    </row>
    <row r="152" customFormat="false" ht="13.2" hidden="false" customHeight="false" outlineLevel="0" collapsed="false">
      <c r="C152" s="125" t="s">
        <v>175</v>
      </c>
      <c r="D152" s="125" t="n">
        <v>2005</v>
      </c>
      <c r="E152" s="125" t="s">
        <v>172</v>
      </c>
      <c r="F152" s="125" t="s">
        <v>146</v>
      </c>
      <c r="G152" s="128" t="n">
        <v>517806</v>
      </c>
      <c r="H152" s="130"/>
    </row>
    <row r="153" customFormat="false" ht="13.2" hidden="false" customHeight="false" outlineLevel="0" collapsed="false">
      <c r="C153" s="125" t="s">
        <v>166</v>
      </c>
      <c r="D153" s="125" t="n">
        <v>2006</v>
      </c>
      <c r="E153" s="125" t="s">
        <v>167</v>
      </c>
      <c r="F153" s="125" t="s">
        <v>147</v>
      </c>
      <c r="G153" s="128" t="n">
        <v>625097</v>
      </c>
      <c r="H153" s="130"/>
    </row>
    <row r="154" customFormat="false" ht="13.2" hidden="false" customHeight="false" outlineLevel="0" collapsed="false">
      <c r="C154" s="125" t="s">
        <v>166</v>
      </c>
      <c r="D154" s="125" t="n">
        <v>2006</v>
      </c>
      <c r="E154" s="125" t="s">
        <v>168</v>
      </c>
      <c r="F154" s="125" t="s">
        <v>147</v>
      </c>
      <c r="G154" s="128" t="n">
        <v>632542</v>
      </c>
      <c r="H154" s="130"/>
    </row>
    <row r="155" customFormat="false" ht="13.2" hidden="false" customHeight="false" outlineLevel="0" collapsed="false">
      <c r="C155" s="125" t="s">
        <v>166</v>
      </c>
      <c r="D155" s="125" t="n">
        <v>2006</v>
      </c>
      <c r="E155" s="125" t="s">
        <v>169</v>
      </c>
      <c r="F155" s="125" t="s">
        <v>147</v>
      </c>
      <c r="G155" s="128" t="n">
        <v>565957</v>
      </c>
      <c r="H155" s="130"/>
    </row>
    <row r="156" customFormat="false" ht="13.2" hidden="false" customHeight="false" outlineLevel="0" collapsed="false">
      <c r="C156" s="125" t="s">
        <v>166</v>
      </c>
      <c r="D156" s="125" t="n">
        <v>2006</v>
      </c>
      <c r="E156" s="125" t="s">
        <v>170</v>
      </c>
      <c r="F156" s="125" t="s">
        <v>147</v>
      </c>
      <c r="G156" s="128" t="n">
        <v>609354</v>
      </c>
      <c r="H156" s="130"/>
    </row>
    <row r="157" customFormat="false" ht="13.2" hidden="false" customHeight="false" outlineLevel="0" collapsed="false">
      <c r="C157" s="125" t="s">
        <v>166</v>
      </c>
      <c r="D157" s="125" t="n">
        <v>2006</v>
      </c>
      <c r="E157" s="125" t="s">
        <v>171</v>
      </c>
      <c r="F157" s="125" t="s">
        <v>147</v>
      </c>
      <c r="G157" s="128" t="n">
        <v>501393</v>
      </c>
      <c r="H157" s="130"/>
    </row>
    <row r="158" customFormat="false" ht="13.2" hidden="false" customHeight="false" outlineLevel="0" collapsed="false">
      <c r="C158" s="125" t="s">
        <v>166</v>
      </c>
      <c r="D158" s="125" t="n">
        <v>2006</v>
      </c>
      <c r="E158" s="125" t="s">
        <v>172</v>
      </c>
      <c r="F158" s="125" t="s">
        <v>147</v>
      </c>
      <c r="G158" s="128" t="n">
        <v>461281</v>
      </c>
      <c r="H158" s="130"/>
    </row>
    <row r="159" customFormat="false" ht="13.2" hidden="false" customHeight="false" outlineLevel="0" collapsed="false">
      <c r="C159" s="125" t="s">
        <v>166</v>
      </c>
      <c r="D159" s="125" t="n">
        <v>2006</v>
      </c>
      <c r="E159" s="125" t="s">
        <v>167</v>
      </c>
      <c r="F159" s="125" t="s">
        <v>145</v>
      </c>
      <c r="G159" s="129" t="n">
        <v>476654</v>
      </c>
      <c r="H159" s="130"/>
    </row>
    <row r="160" customFormat="false" ht="13.2" hidden="false" customHeight="false" outlineLevel="0" collapsed="false">
      <c r="C160" s="125" t="s">
        <v>166</v>
      </c>
      <c r="D160" s="125" t="n">
        <v>2006</v>
      </c>
      <c r="E160" s="125" t="s">
        <v>168</v>
      </c>
      <c r="F160" s="125" t="s">
        <v>145</v>
      </c>
      <c r="G160" s="129" t="n">
        <v>405717</v>
      </c>
      <c r="H160" s="130"/>
    </row>
    <row r="161" customFormat="false" ht="13.2" hidden="false" customHeight="false" outlineLevel="0" collapsed="false">
      <c r="C161" s="125" t="s">
        <v>166</v>
      </c>
      <c r="D161" s="125" t="n">
        <v>2006</v>
      </c>
      <c r="E161" s="125" t="s">
        <v>169</v>
      </c>
      <c r="F161" s="125" t="s">
        <v>145</v>
      </c>
      <c r="G161" s="129" t="n">
        <v>407780</v>
      </c>
      <c r="H161" s="130"/>
    </row>
    <row r="162" customFormat="false" ht="13.2" hidden="false" customHeight="false" outlineLevel="0" collapsed="false">
      <c r="C162" s="125" t="s">
        <v>166</v>
      </c>
      <c r="D162" s="125" t="n">
        <v>2006</v>
      </c>
      <c r="E162" s="125" t="s">
        <v>170</v>
      </c>
      <c r="F162" s="125" t="s">
        <v>145</v>
      </c>
      <c r="G162" s="129" t="n">
        <v>462903</v>
      </c>
      <c r="H162" s="130"/>
    </row>
    <row r="163" customFormat="false" ht="13.2" hidden="false" customHeight="false" outlineLevel="0" collapsed="false">
      <c r="C163" s="125" t="s">
        <v>166</v>
      </c>
      <c r="D163" s="125" t="n">
        <v>2006</v>
      </c>
      <c r="E163" s="125" t="s">
        <v>171</v>
      </c>
      <c r="F163" s="125" t="s">
        <v>145</v>
      </c>
      <c r="G163" s="129" t="n">
        <v>460030</v>
      </c>
      <c r="H163" s="130"/>
    </row>
    <row r="164" customFormat="false" ht="13.2" hidden="false" customHeight="false" outlineLevel="0" collapsed="false">
      <c r="C164" s="125" t="s">
        <v>166</v>
      </c>
      <c r="D164" s="125" t="n">
        <v>2006</v>
      </c>
      <c r="E164" s="125" t="s">
        <v>172</v>
      </c>
      <c r="F164" s="125" t="s">
        <v>145</v>
      </c>
      <c r="G164" s="129" t="n">
        <v>463982</v>
      </c>
      <c r="H164" s="130"/>
    </row>
    <row r="165" customFormat="false" ht="13.2" hidden="false" customHeight="false" outlineLevel="0" collapsed="false">
      <c r="C165" s="125" t="s">
        <v>166</v>
      </c>
      <c r="D165" s="125" t="n">
        <v>2006</v>
      </c>
      <c r="E165" s="125" t="s">
        <v>167</v>
      </c>
      <c r="F165" s="125" t="s">
        <v>146</v>
      </c>
      <c r="G165" s="128" t="n">
        <v>622573</v>
      </c>
      <c r="H165" s="130"/>
    </row>
    <row r="166" customFormat="false" ht="13.2" hidden="false" customHeight="false" outlineLevel="0" collapsed="false">
      <c r="C166" s="125" t="s">
        <v>166</v>
      </c>
      <c r="D166" s="125" t="n">
        <v>2006</v>
      </c>
      <c r="E166" s="125" t="s">
        <v>168</v>
      </c>
      <c r="F166" s="125" t="s">
        <v>146</v>
      </c>
      <c r="G166" s="128" t="n">
        <v>578387</v>
      </c>
      <c r="H166" s="130"/>
    </row>
    <row r="167" customFormat="false" ht="13.2" hidden="false" customHeight="false" outlineLevel="0" collapsed="false">
      <c r="C167" s="125" t="s">
        <v>166</v>
      </c>
      <c r="D167" s="125" t="n">
        <v>2006</v>
      </c>
      <c r="E167" s="125" t="s">
        <v>169</v>
      </c>
      <c r="F167" s="125" t="s">
        <v>146</v>
      </c>
      <c r="G167" s="128" t="n">
        <v>579998</v>
      </c>
      <c r="H167" s="130"/>
    </row>
    <row r="168" customFormat="false" ht="13.2" hidden="false" customHeight="false" outlineLevel="0" collapsed="false">
      <c r="C168" s="125" t="s">
        <v>166</v>
      </c>
      <c r="D168" s="125" t="n">
        <v>2006</v>
      </c>
      <c r="E168" s="125" t="s">
        <v>170</v>
      </c>
      <c r="F168" s="125" t="s">
        <v>146</v>
      </c>
      <c r="G168" s="128" t="n">
        <v>594253</v>
      </c>
      <c r="H168" s="130"/>
    </row>
    <row r="169" customFormat="false" ht="13.2" hidden="false" customHeight="false" outlineLevel="0" collapsed="false">
      <c r="C169" s="125" t="s">
        <v>166</v>
      </c>
      <c r="D169" s="125" t="n">
        <v>2006</v>
      </c>
      <c r="E169" s="125" t="s">
        <v>171</v>
      </c>
      <c r="F169" s="125" t="s">
        <v>146</v>
      </c>
      <c r="G169" s="128" t="n">
        <v>473198</v>
      </c>
      <c r="H169" s="130"/>
    </row>
    <row r="170" customFormat="false" ht="13.2" hidden="false" customHeight="false" outlineLevel="0" collapsed="false">
      <c r="C170" s="125" t="s">
        <v>166</v>
      </c>
      <c r="D170" s="125" t="n">
        <v>2006</v>
      </c>
      <c r="E170" s="125" t="s">
        <v>172</v>
      </c>
      <c r="F170" s="125" t="s">
        <v>146</v>
      </c>
      <c r="G170" s="128" t="n">
        <v>601406</v>
      </c>
      <c r="H170" s="130"/>
    </row>
    <row r="171" customFormat="false" ht="13.2" hidden="false" customHeight="false" outlineLevel="0" collapsed="false">
      <c r="C171" s="125" t="s">
        <v>173</v>
      </c>
      <c r="D171" s="125" t="n">
        <v>2006</v>
      </c>
      <c r="E171" s="125" t="s">
        <v>167</v>
      </c>
      <c r="F171" s="125" t="s">
        <v>147</v>
      </c>
      <c r="G171" s="128" t="n">
        <v>616561</v>
      </c>
      <c r="H171" s="130"/>
    </row>
    <row r="172" customFormat="false" ht="13.2" hidden="false" customHeight="false" outlineLevel="0" collapsed="false">
      <c r="C172" s="125" t="s">
        <v>173</v>
      </c>
      <c r="D172" s="125" t="n">
        <v>2006</v>
      </c>
      <c r="E172" s="125" t="s">
        <v>168</v>
      </c>
      <c r="F172" s="125" t="s">
        <v>147</v>
      </c>
      <c r="G172" s="128" t="n">
        <v>559403</v>
      </c>
      <c r="H172" s="130"/>
    </row>
    <row r="173" customFormat="false" ht="13.2" hidden="false" customHeight="false" outlineLevel="0" collapsed="false">
      <c r="C173" s="125" t="s">
        <v>173</v>
      </c>
      <c r="D173" s="125" t="n">
        <v>2006</v>
      </c>
      <c r="E173" s="125" t="s">
        <v>169</v>
      </c>
      <c r="F173" s="125" t="s">
        <v>147</v>
      </c>
      <c r="G173" s="128" t="n">
        <v>597369</v>
      </c>
      <c r="H173" s="130"/>
    </row>
    <row r="174" customFormat="false" ht="13.2" hidden="false" customHeight="false" outlineLevel="0" collapsed="false">
      <c r="C174" s="125" t="s">
        <v>173</v>
      </c>
      <c r="D174" s="125" t="n">
        <v>2006</v>
      </c>
      <c r="E174" s="125" t="s">
        <v>170</v>
      </c>
      <c r="F174" s="125" t="s">
        <v>147</v>
      </c>
      <c r="G174" s="128" t="n">
        <v>709122</v>
      </c>
      <c r="H174" s="130"/>
    </row>
    <row r="175" customFormat="false" ht="13.2" hidden="false" customHeight="false" outlineLevel="0" collapsed="false">
      <c r="C175" s="125" t="s">
        <v>173</v>
      </c>
      <c r="D175" s="125" t="n">
        <v>2006</v>
      </c>
      <c r="E175" s="125" t="s">
        <v>171</v>
      </c>
      <c r="F175" s="125" t="s">
        <v>147</v>
      </c>
      <c r="G175" s="128" t="n">
        <v>462316</v>
      </c>
      <c r="H175" s="130"/>
    </row>
    <row r="176" customFormat="false" ht="13.2" hidden="false" customHeight="false" outlineLevel="0" collapsed="false">
      <c r="C176" s="125" t="s">
        <v>173</v>
      </c>
      <c r="D176" s="125" t="n">
        <v>2006</v>
      </c>
      <c r="E176" s="125" t="s">
        <v>172</v>
      </c>
      <c r="F176" s="125" t="s">
        <v>147</v>
      </c>
      <c r="G176" s="128" t="n">
        <v>466554</v>
      </c>
      <c r="H176" s="130"/>
    </row>
    <row r="177" customFormat="false" ht="13.2" hidden="false" customHeight="false" outlineLevel="0" collapsed="false">
      <c r="C177" s="125" t="s">
        <v>173</v>
      </c>
      <c r="D177" s="125" t="n">
        <v>2006</v>
      </c>
      <c r="E177" s="125" t="s">
        <v>167</v>
      </c>
      <c r="F177" s="125" t="s">
        <v>145</v>
      </c>
      <c r="G177" s="129" t="n">
        <v>380338</v>
      </c>
      <c r="H177" s="130"/>
    </row>
    <row r="178" customFormat="false" ht="13.2" hidden="false" customHeight="false" outlineLevel="0" collapsed="false">
      <c r="C178" s="125" t="s">
        <v>173</v>
      </c>
      <c r="D178" s="125" t="n">
        <v>2006</v>
      </c>
      <c r="E178" s="125" t="s">
        <v>168</v>
      </c>
      <c r="F178" s="125" t="s">
        <v>145</v>
      </c>
      <c r="G178" s="129" t="n">
        <v>406420</v>
      </c>
      <c r="H178" s="130"/>
    </row>
    <row r="179" customFormat="false" ht="13.2" hidden="false" customHeight="false" outlineLevel="0" collapsed="false">
      <c r="C179" s="125" t="s">
        <v>173</v>
      </c>
      <c r="D179" s="125" t="n">
        <v>2006</v>
      </c>
      <c r="E179" s="125" t="s">
        <v>169</v>
      </c>
      <c r="F179" s="125" t="s">
        <v>145</v>
      </c>
      <c r="G179" s="129" t="n">
        <v>422373</v>
      </c>
      <c r="H179" s="130"/>
    </row>
    <row r="180" customFormat="false" ht="13.2" hidden="false" customHeight="false" outlineLevel="0" collapsed="false">
      <c r="C180" s="125" t="s">
        <v>173</v>
      </c>
      <c r="D180" s="125" t="n">
        <v>2006</v>
      </c>
      <c r="E180" s="125" t="s">
        <v>170</v>
      </c>
      <c r="F180" s="125" t="s">
        <v>145</v>
      </c>
      <c r="G180" s="129" t="n">
        <v>385923</v>
      </c>
      <c r="H180" s="130"/>
    </row>
    <row r="181" customFormat="false" ht="13.2" hidden="false" customHeight="false" outlineLevel="0" collapsed="false">
      <c r="C181" s="125" t="s">
        <v>173</v>
      </c>
      <c r="D181" s="125" t="n">
        <v>2006</v>
      </c>
      <c r="E181" s="125" t="s">
        <v>171</v>
      </c>
      <c r="F181" s="125" t="s">
        <v>145</v>
      </c>
      <c r="G181" s="129" t="n">
        <v>474148</v>
      </c>
      <c r="H181" s="130"/>
    </row>
    <row r="182" customFormat="false" ht="13.2" hidden="false" customHeight="false" outlineLevel="0" collapsed="false">
      <c r="C182" s="125" t="s">
        <v>173</v>
      </c>
      <c r="D182" s="125" t="n">
        <v>2006</v>
      </c>
      <c r="E182" s="125" t="s">
        <v>172</v>
      </c>
      <c r="F182" s="125" t="s">
        <v>145</v>
      </c>
      <c r="G182" s="129" t="n">
        <v>438409</v>
      </c>
      <c r="H182" s="130"/>
    </row>
    <row r="183" customFormat="false" ht="13.2" hidden="false" customHeight="false" outlineLevel="0" collapsed="false">
      <c r="C183" s="125" t="s">
        <v>173</v>
      </c>
      <c r="D183" s="125" t="n">
        <v>2006</v>
      </c>
      <c r="E183" s="125" t="s">
        <v>167</v>
      </c>
      <c r="F183" s="125" t="s">
        <v>146</v>
      </c>
      <c r="G183" s="128" t="n">
        <v>554317</v>
      </c>
      <c r="H183" s="130"/>
    </row>
    <row r="184" customFormat="false" ht="13.2" hidden="false" customHeight="false" outlineLevel="0" collapsed="false">
      <c r="C184" s="125" t="s">
        <v>173</v>
      </c>
      <c r="D184" s="125" t="n">
        <v>2006</v>
      </c>
      <c r="E184" s="125" t="s">
        <v>168</v>
      </c>
      <c r="F184" s="125" t="s">
        <v>146</v>
      </c>
      <c r="G184" s="128" t="n">
        <v>609069</v>
      </c>
      <c r="H184" s="130"/>
    </row>
    <row r="185" customFormat="false" ht="13.2" hidden="false" customHeight="false" outlineLevel="0" collapsed="false">
      <c r="C185" s="125" t="s">
        <v>173</v>
      </c>
      <c r="D185" s="125" t="n">
        <v>2006</v>
      </c>
      <c r="E185" s="125" t="s">
        <v>169</v>
      </c>
      <c r="F185" s="125" t="s">
        <v>146</v>
      </c>
      <c r="G185" s="128" t="n">
        <v>563406</v>
      </c>
      <c r="H185" s="130"/>
    </row>
    <row r="186" customFormat="false" ht="13.2" hidden="false" customHeight="false" outlineLevel="0" collapsed="false">
      <c r="C186" s="125" t="s">
        <v>173</v>
      </c>
      <c r="D186" s="125" t="n">
        <v>2006</v>
      </c>
      <c r="E186" s="125" t="s">
        <v>170</v>
      </c>
      <c r="F186" s="125" t="s">
        <v>146</v>
      </c>
      <c r="G186" s="128" t="n">
        <v>606490</v>
      </c>
      <c r="H186" s="130"/>
    </row>
    <row r="187" customFormat="false" ht="13.2" hidden="false" customHeight="false" outlineLevel="0" collapsed="false">
      <c r="C187" s="125" t="s">
        <v>173</v>
      </c>
      <c r="D187" s="125" t="n">
        <v>2006</v>
      </c>
      <c r="E187" s="125" t="s">
        <v>171</v>
      </c>
      <c r="F187" s="125" t="s">
        <v>146</v>
      </c>
      <c r="G187" s="128" t="n">
        <v>564560</v>
      </c>
      <c r="H187" s="130"/>
    </row>
    <row r="188" customFormat="false" ht="13.2" hidden="false" customHeight="false" outlineLevel="0" collapsed="false">
      <c r="C188" s="125" t="s">
        <v>173</v>
      </c>
      <c r="D188" s="125" t="n">
        <v>2006</v>
      </c>
      <c r="E188" s="125" t="s">
        <v>172</v>
      </c>
      <c r="F188" s="125" t="s">
        <v>146</v>
      </c>
      <c r="G188" s="128" t="n">
        <v>600194</v>
      </c>
      <c r="H188" s="130"/>
    </row>
    <row r="189" customFormat="false" ht="13.2" hidden="false" customHeight="false" outlineLevel="0" collapsed="false">
      <c r="C189" s="125" t="s">
        <v>174</v>
      </c>
      <c r="D189" s="125" t="n">
        <v>2006</v>
      </c>
      <c r="E189" s="125" t="s">
        <v>167</v>
      </c>
      <c r="F189" s="125" t="s">
        <v>147</v>
      </c>
      <c r="G189" s="128" t="n">
        <v>549802</v>
      </c>
      <c r="H189" s="130"/>
    </row>
    <row r="190" customFormat="false" ht="13.2" hidden="false" customHeight="false" outlineLevel="0" collapsed="false">
      <c r="C190" s="125" t="s">
        <v>174</v>
      </c>
      <c r="D190" s="125" t="n">
        <v>2006</v>
      </c>
      <c r="E190" s="125" t="s">
        <v>168</v>
      </c>
      <c r="F190" s="125" t="s">
        <v>147</v>
      </c>
      <c r="G190" s="128" t="n">
        <v>493119</v>
      </c>
      <c r="H190" s="130"/>
    </row>
    <row r="191" customFormat="false" ht="13.2" hidden="false" customHeight="false" outlineLevel="0" collapsed="false">
      <c r="C191" s="125" t="s">
        <v>174</v>
      </c>
      <c r="D191" s="125" t="n">
        <v>2006</v>
      </c>
      <c r="E191" s="125" t="s">
        <v>169</v>
      </c>
      <c r="F191" s="125" t="s">
        <v>147</v>
      </c>
      <c r="G191" s="128" t="n">
        <v>576355</v>
      </c>
      <c r="H191" s="130"/>
    </row>
    <row r="192" customFormat="false" ht="13.2" hidden="false" customHeight="false" outlineLevel="0" collapsed="false">
      <c r="C192" s="125" t="s">
        <v>174</v>
      </c>
      <c r="D192" s="125" t="n">
        <v>2006</v>
      </c>
      <c r="E192" s="125" t="s">
        <v>170</v>
      </c>
      <c r="F192" s="125" t="s">
        <v>147</v>
      </c>
      <c r="G192" s="128" t="n">
        <v>670233</v>
      </c>
      <c r="H192" s="130"/>
    </row>
    <row r="193" customFormat="false" ht="13.2" hidden="false" customHeight="false" outlineLevel="0" collapsed="false">
      <c r="C193" s="125" t="s">
        <v>174</v>
      </c>
      <c r="D193" s="125" t="n">
        <v>2006</v>
      </c>
      <c r="E193" s="125" t="s">
        <v>171</v>
      </c>
      <c r="F193" s="125" t="s">
        <v>147</v>
      </c>
      <c r="G193" s="128" t="n">
        <v>524001</v>
      </c>
      <c r="H193" s="130"/>
    </row>
    <row r="194" customFormat="false" ht="13.2" hidden="false" customHeight="false" outlineLevel="0" collapsed="false">
      <c r="C194" s="125" t="s">
        <v>174</v>
      </c>
      <c r="D194" s="125" t="n">
        <v>2006</v>
      </c>
      <c r="E194" s="125" t="s">
        <v>172</v>
      </c>
      <c r="F194" s="125" t="s">
        <v>147</v>
      </c>
      <c r="G194" s="128" t="n">
        <v>527703</v>
      </c>
      <c r="H194" s="130"/>
    </row>
    <row r="195" customFormat="false" ht="13.2" hidden="false" customHeight="false" outlineLevel="0" collapsed="false">
      <c r="C195" s="125" t="s">
        <v>174</v>
      </c>
      <c r="D195" s="125" t="n">
        <v>2006</v>
      </c>
      <c r="E195" s="125" t="s">
        <v>167</v>
      </c>
      <c r="F195" s="125" t="s">
        <v>145</v>
      </c>
      <c r="G195" s="129" t="n">
        <v>355197</v>
      </c>
      <c r="H195" s="130"/>
    </row>
    <row r="196" customFormat="false" ht="13.2" hidden="false" customHeight="false" outlineLevel="0" collapsed="false">
      <c r="C196" s="125" t="s">
        <v>174</v>
      </c>
      <c r="D196" s="125" t="n">
        <v>2006</v>
      </c>
      <c r="E196" s="125" t="s">
        <v>168</v>
      </c>
      <c r="F196" s="125" t="s">
        <v>145</v>
      </c>
      <c r="G196" s="129" t="n">
        <v>420947</v>
      </c>
      <c r="H196" s="130"/>
    </row>
    <row r="197" customFormat="false" ht="13.2" hidden="false" customHeight="false" outlineLevel="0" collapsed="false">
      <c r="C197" s="125" t="s">
        <v>174</v>
      </c>
      <c r="D197" s="125" t="n">
        <v>2006</v>
      </c>
      <c r="E197" s="125" t="s">
        <v>169</v>
      </c>
      <c r="F197" s="125" t="s">
        <v>145</v>
      </c>
      <c r="G197" s="129" t="n">
        <v>423393</v>
      </c>
      <c r="H197" s="130"/>
    </row>
    <row r="198" customFormat="false" ht="13.2" hidden="false" customHeight="false" outlineLevel="0" collapsed="false">
      <c r="C198" s="125" t="s">
        <v>174</v>
      </c>
      <c r="D198" s="125" t="n">
        <v>2006</v>
      </c>
      <c r="E198" s="125" t="s">
        <v>170</v>
      </c>
      <c r="F198" s="125" t="s">
        <v>145</v>
      </c>
      <c r="G198" s="129" t="n">
        <v>547726</v>
      </c>
      <c r="H198" s="130"/>
    </row>
    <row r="199" customFormat="false" ht="13.2" hidden="false" customHeight="false" outlineLevel="0" collapsed="false">
      <c r="C199" s="125" t="s">
        <v>174</v>
      </c>
      <c r="D199" s="125" t="n">
        <v>2006</v>
      </c>
      <c r="E199" s="125" t="s">
        <v>171</v>
      </c>
      <c r="F199" s="125" t="s">
        <v>145</v>
      </c>
      <c r="G199" s="129" t="n">
        <v>478507</v>
      </c>
      <c r="H199" s="130"/>
    </row>
    <row r="200" customFormat="false" ht="13.2" hidden="false" customHeight="false" outlineLevel="0" collapsed="false">
      <c r="C200" s="125" t="s">
        <v>174</v>
      </c>
      <c r="D200" s="125" t="n">
        <v>2006</v>
      </c>
      <c r="E200" s="125" t="s">
        <v>172</v>
      </c>
      <c r="F200" s="125" t="s">
        <v>145</v>
      </c>
      <c r="G200" s="129" t="n">
        <v>425549</v>
      </c>
      <c r="H200" s="130"/>
    </row>
    <row r="201" customFormat="false" ht="13.2" hidden="false" customHeight="false" outlineLevel="0" collapsed="false">
      <c r="C201" s="125" t="s">
        <v>174</v>
      </c>
      <c r="D201" s="125" t="n">
        <v>2006</v>
      </c>
      <c r="E201" s="125" t="s">
        <v>167</v>
      </c>
      <c r="F201" s="125" t="s">
        <v>146</v>
      </c>
      <c r="G201" s="128" t="n">
        <v>618631</v>
      </c>
      <c r="H201" s="130"/>
    </row>
    <row r="202" customFormat="false" ht="13.2" hidden="false" customHeight="false" outlineLevel="0" collapsed="false">
      <c r="C202" s="125" t="s">
        <v>174</v>
      </c>
      <c r="D202" s="125" t="n">
        <v>2006</v>
      </c>
      <c r="E202" s="125" t="s">
        <v>168</v>
      </c>
      <c r="F202" s="125" t="s">
        <v>146</v>
      </c>
      <c r="G202" s="128" t="n">
        <v>593074</v>
      </c>
      <c r="H202" s="130"/>
    </row>
    <row r="203" customFormat="false" ht="13.2" hidden="false" customHeight="false" outlineLevel="0" collapsed="false">
      <c r="C203" s="125" t="s">
        <v>174</v>
      </c>
      <c r="D203" s="125" t="n">
        <v>2006</v>
      </c>
      <c r="E203" s="125" t="s">
        <v>169</v>
      </c>
      <c r="F203" s="125" t="s">
        <v>146</v>
      </c>
      <c r="G203" s="128" t="n">
        <v>708115</v>
      </c>
      <c r="H203" s="130"/>
    </row>
    <row r="204" customFormat="false" ht="13.2" hidden="false" customHeight="false" outlineLevel="0" collapsed="false">
      <c r="C204" s="125" t="s">
        <v>174</v>
      </c>
      <c r="D204" s="125" t="n">
        <v>2006</v>
      </c>
      <c r="E204" s="125" t="s">
        <v>170</v>
      </c>
      <c r="F204" s="125" t="s">
        <v>146</v>
      </c>
      <c r="G204" s="128" t="n">
        <v>657230</v>
      </c>
      <c r="H204" s="130"/>
    </row>
    <row r="205" customFormat="false" ht="13.2" hidden="false" customHeight="false" outlineLevel="0" collapsed="false">
      <c r="C205" s="125" t="s">
        <v>174</v>
      </c>
      <c r="D205" s="125" t="n">
        <v>2006</v>
      </c>
      <c r="E205" s="125" t="s">
        <v>171</v>
      </c>
      <c r="F205" s="125" t="s">
        <v>146</v>
      </c>
      <c r="G205" s="128" t="n">
        <v>636020</v>
      </c>
      <c r="H205" s="130"/>
    </row>
    <row r="206" customFormat="false" ht="13.2" hidden="false" customHeight="false" outlineLevel="0" collapsed="false">
      <c r="C206" s="125" t="s">
        <v>174</v>
      </c>
      <c r="D206" s="125" t="n">
        <v>2006</v>
      </c>
      <c r="E206" s="125" t="s">
        <v>172</v>
      </c>
      <c r="F206" s="125" t="s">
        <v>146</v>
      </c>
      <c r="G206" s="128" t="n">
        <v>648918</v>
      </c>
      <c r="H206" s="130"/>
    </row>
    <row r="207" customFormat="false" ht="13.2" hidden="false" customHeight="false" outlineLevel="0" collapsed="false">
      <c r="C207" s="125" t="s">
        <v>175</v>
      </c>
      <c r="D207" s="125" t="n">
        <v>2006</v>
      </c>
      <c r="E207" s="125" t="s">
        <v>167</v>
      </c>
      <c r="F207" s="125" t="s">
        <v>147</v>
      </c>
      <c r="G207" s="128" t="n">
        <v>508848</v>
      </c>
    </row>
    <row r="208" customFormat="false" ht="13.2" hidden="false" customHeight="false" outlineLevel="0" collapsed="false">
      <c r="C208" s="125" t="s">
        <v>175</v>
      </c>
      <c r="D208" s="125" t="n">
        <v>2006</v>
      </c>
      <c r="E208" s="125" t="s">
        <v>168</v>
      </c>
      <c r="F208" s="125" t="s">
        <v>147</v>
      </c>
      <c r="G208" s="128" t="n">
        <v>522433</v>
      </c>
    </row>
    <row r="209" customFormat="false" ht="13.2" hidden="false" customHeight="false" outlineLevel="0" collapsed="false">
      <c r="C209" s="125" t="s">
        <v>175</v>
      </c>
      <c r="D209" s="125" t="n">
        <v>2006</v>
      </c>
      <c r="E209" s="125" t="s">
        <v>169</v>
      </c>
      <c r="F209" s="125" t="s">
        <v>147</v>
      </c>
      <c r="G209" s="128" t="n">
        <v>526729</v>
      </c>
    </row>
    <row r="210" customFormat="false" ht="13.2" hidden="false" customHeight="false" outlineLevel="0" collapsed="false">
      <c r="C210" s="125" t="s">
        <v>175</v>
      </c>
      <c r="D210" s="125" t="n">
        <v>2006</v>
      </c>
      <c r="E210" s="125" t="s">
        <v>170</v>
      </c>
      <c r="F210" s="125" t="s">
        <v>147</v>
      </c>
      <c r="G210" s="128" t="n">
        <v>504010</v>
      </c>
    </row>
    <row r="211" customFormat="false" ht="13.2" hidden="false" customHeight="false" outlineLevel="0" collapsed="false">
      <c r="C211" s="125" t="s">
        <v>175</v>
      </c>
      <c r="D211" s="125" t="n">
        <v>2006</v>
      </c>
      <c r="E211" s="125" t="s">
        <v>171</v>
      </c>
      <c r="F211" s="125" t="s">
        <v>147</v>
      </c>
      <c r="G211" s="128" t="n">
        <v>426401</v>
      </c>
    </row>
    <row r="212" customFormat="false" ht="13.2" hidden="false" customHeight="false" outlineLevel="0" collapsed="false">
      <c r="C212" s="125" t="s">
        <v>175</v>
      </c>
      <c r="D212" s="125" t="n">
        <v>2006</v>
      </c>
      <c r="E212" s="125" t="s">
        <v>172</v>
      </c>
      <c r="F212" s="125" t="s">
        <v>147</v>
      </c>
      <c r="G212" s="128" t="n">
        <v>430903</v>
      </c>
    </row>
    <row r="213" customFormat="false" ht="13.2" hidden="false" customHeight="false" outlineLevel="0" collapsed="false">
      <c r="C213" s="125" t="s">
        <v>175</v>
      </c>
      <c r="D213" s="125" t="n">
        <v>2006</v>
      </c>
      <c r="E213" s="125" t="s">
        <v>167</v>
      </c>
      <c r="F213" s="125" t="s">
        <v>145</v>
      </c>
      <c r="G213" s="129" t="n">
        <v>319614</v>
      </c>
    </row>
    <row r="214" customFormat="false" ht="13.2" hidden="false" customHeight="false" outlineLevel="0" collapsed="false">
      <c r="C214" s="125" t="s">
        <v>175</v>
      </c>
      <c r="D214" s="125" t="n">
        <v>2006</v>
      </c>
      <c r="E214" s="125" t="s">
        <v>168</v>
      </c>
      <c r="F214" s="125" t="s">
        <v>145</v>
      </c>
      <c r="G214" s="129" t="n">
        <v>417155</v>
      </c>
    </row>
    <row r="215" customFormat="false" ht="13.2" hidden="false" customHeight="false" outlineLevel="0" collapsed="false">
      <c r="C215" s="125" t="s">
        <v>175</v>
      </c>
      <c r="D215" s="125" t="n">
        <v>2006</v>
      </c>
      <c r="E215" s="125" t="s">
        <v>169</v>
      </c>
      <c r="F215" s="125" t="s">
        <v>145</v>
      </c>
      <c r="G215" s="129" t="n">
        <v>395381</v>
      </c>
    </row>
    <row r="216" customFormat="false" ht="13.2" hidden="false" customHeight="false" outlineLevel="0" collapsed="false">
      <c r="C216" s="125" t="s">
        <v>175</v>
      </c>
      <c r="D216" s="125" t="n">
        <v>2006</v>
      </c>
      <c r="E216" s="125" t="s">
        <v>170</v>
      </c>
      <c r="F216" s="125" t="s">
        <v>145</v>
      </c>
      <c r="G216" s="129" t="n">
        <v>385921</v>
      </c>
    </row>
    <row r="217" customFormat="false" ht="13.2" hidden="false" customHeight="false" outlineLevel="0" collapsed="false">
      <c r="C217" s="125" t="s">
        <v>175</v>
      </c>
      <c r="D217" s="125" t="n">
        <v>2006</v>
      </c>
      <c r="E217" s="125" t="s">
        <v>171</v>
      </c>
      <c r="F217" s="125" t="s">
        <v>145</v>
      </c>
      <c r="G217" s="129" t="n">
        <v>349157</v>
      </c>
    </row>
    <row r="218" customFormat="false" ht="13.2" hidden="false" customHeight="false" outlineLevel="0" collapsed="false">
      <c r="C218" s="125" t="s">
        <v>175</v>
      </c>
      <c r="D218" s="125" t="n">
        <v>2006</v>
      </c>
      <c r="E218" s="125" t="s">
        <v>172</v>
      </c>
      <c r="F218" s="125" t="s">
        <v>145</v>
      </c>
      <c r="G218" s="129" t="n">
        <v>375737</v>
      </c>
    </row>
    <row r="219" customFormat="false" ht="13.2" hidden="false" customHeight="false" outlineLevel="0" collapsed="false">
      <c r="C219" s="125" t="s">
        <v>175</v>
      </c>
      <c r="D219" s="125" t="n">
        <v>2006</v>
      </c>
      <c r="E219" s="125" t="s">
        <v>167</v>
      </c>
      <c r="F219" s="125" t="s">
        <v>146</v>
      </c>
      <c r="G219" s="128" t="n">
        <v>528322</v>
      </c>
    </row>
    <row r="220" customFormat="false" ht="13.2" hidden="false" customHeight="false" outlineLevel="0" collapsed="false">
      <c r="C220" s="125" t="s">
        <v>175</v>
      </c>
      <c r="D220" s="125" t="n">
        <v>2006</v>
      </c>
      <c r="E220" s="125" t="s">
        <v>168</v>
      </c>
      <c r="F220" s="125" t="s">
        <v>146</v>
      </c>
      <c r="G220" s="128" t="n">
        <v>497798</v>
      </c>
    </row>
    <row r="221" customFormat="false" ht="13.2" hidden="false" customHeight="false" outlineLevel="0" collapsed="false">
      <c r="C221" s="125" t="s">
        <v>175</v>
      </c>
      <c r="D221" s="125" t="n">
        <v>2006</v>
      </c>
      <c r="E221" s="125" t="s">
        <v>169</v>
      </c>
      <c r="F221" s="125" t="s">
        <v>146</v>
      </c>
      <c r="G221" s="128" t="n">
        <v>515122</v>
      </c>
    </row>
    <row r="222" customFormat="false" ht="13.2" hidden="false" customHeight="false" outlineLevel="0" collapsed="false">
      <c r="C222" s="125" t="s">
        <v>175</v>
      </c>
      <c r="D222" s="125" t="n">
        <v>2006</v>
      </c>
      <c r="E222" s="125" t="s">
        <v>170</v>
      </c>
      <c r="F222" s="125" t="s">
        <v>146</v>
      </c>
      <c r="G222" s="128" t="n">
        <v>501404</v>
      </c>
    </row>
    <row r="223" customFormat="false" ht="13.2" hidden="false" customHeight="false" outlineLevel="0" collapsed="false">
      <c r="C223" s="125" t="s">
        <v>175</v>
      </c>
      <c r="D223" s="125" t="n">
        <v>2006</v>
      </c>
      <c r="E223" s="125" t="s">
        <v>171</v>
      </c>
      <c r="F223" s="125" t="s">
        <v>146</v>
      </c>
      <c r="G223" s="128" t="n">
        <v>518350</v>
      </c>
    </row>
    <row r="224" customFormat="false" ht="13.2" hidden="false" customHeight="false" outlineLevel="0" collapsed="false">
      <c r="C224" s="125" t="s">
        <v>175</v>
      </c>
      <c r="D224" s="125" t="n">
        <v>2006</v>
      </c>
      <c r="E224" s="125" t="s">
        <v>172</v>
      </c>
      <c r="F224" s="125" t="s">
        <v>146</v>
      </c>
      <c r="G224" s="128" t="n">
        <v>445582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F67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ColWidth="8.9921875" defaultRowHeight="13.2" zeroHeight="false" outlineLevelRow="0" outlineLevelCol="0"/>
  <cols>
    <col collapsed="false" customWidth="false" hidden="false" outlineLevel="0" max="2" min="1" style="121" width="9"/>
    <col collapsed="false" customWidth="true" hidden="false" outlineLevel="0" max="3" min="3" style="121" width="45.6"/>
    <col collapsed="false" customWidth="true" hidden="false" outlineLevel="0" max="4" min="4" style="121" width="11.1"/>
    <col collapsed="false" customWidth="true" hidden="false" outlineLevel="0" max="5" min="5" style="121" width="11.59"/>
    <col collapsed="false" customWidth="true" hidden="false" outlineLevel="0" max="6" min="6" style="121" width="24.52"/>
    <col collapsed="false" customWidth="false" hidden="false" outlineLevel="0" max="1024" min="7" style="121" width="9"/>
  </cols>
  <sheetData>
    <row r="2" customFormat="false" ht="15.6" hidden="false" customHeight="false" outlineLevel="0" collapsed="false">
      <c r="B2" s="131" t="s">
        <v>176</v>
      </c>
    </row>
    <row r="4" customFormat="false" ht="16.2" hidden="false" customHeight="false" outlineLevel="0" collapsed="false">
      <c r="B4" s="132" t="s">
        <v>177</v>
      </c>
    </row>
    <row r="6" customFormat="false" ht="27" hidden="false" customHeight="false" outlineLevel="0" collapsed="false">
      <c r="B6" s="133"/>
      <c r="C6" s="134" t="s">
        <v>178</v>
      </c>
      <c r="D6" s="135" t="s">
        <v>179</v>
      </c>
      <c r="E6" s="135" t="s">
        <v>180</v>
      </c>
      <c r="F6" s="135" t="s">
        <v>181</v>
      </c>
    </row>
    <row r="7" customFormat="false" ht="13.2" hidden="false" customHeight="false" outlineLevel="0" collapsed="false">
      <c r="D7" s="136"/>
      <c r="E7" s="136"/>
      <c r="F7" s="137"/>
    </row>
    <row r="8" customFormat="false" ht="13.2" hidden="false" customHeight="false" outlineLevel="0" collapsed="false">
      <c r="B8" s="137"/>
      <c r="C8" s="138" t="s">
        <v>12</v>
      </c>
      <c r="D8" s="139"/>
      <c r="E8" s="139"/>
      <c r="F8" s="140"/>
    </row>
    <row r="9" customFormat="false" ht="13.2" hidden="false" customHeight="false" outlineLevel="0" collapsed="false">
      <c r="B9" s="137"/>
      <c r="C9" s="137" t="s">
        <v>182</v>
      </c>
      <c r="D9" s="141" t="n">
        <v>3</v>
      </c>
      <c r="E9" s="142"/>
      <c r="F9" s="143"/>
    </row>
    <row r="10" customFormat="false" ht="13.2" hidden="false" customHeight="false" outlineLevel="0" collapsed="false">
      <c r="B10" s="137"/>
      <c r="C10" s="137" t="s">
        <v>183</v>
      </c>
      <c r="D10" s="141" t="n">
        <v>3</v>
      </c>
      <c r="E10" s="142"/>
      <c r="F10" s="143"/>
    </row>
    <row r="11" customFormat="false" ht="13.2" hidden="false" customHeight="false" outlineLevel="0" collapsed="false">
      <c r="B11" s="137"/>
      <c r="C11" s="137" t="s">
        <v>184</v>
      </c>
      <c r="D11" s="141" t="n">
        <v>1</v>
      </c>
      <c r="E11" s="142"/>
      <c r="F11" s="143"/>
    </row>
    <row r="12" customFormat="false" ht="13.2" hidden="false" customHeight="false" outlineLevel="0" collapsed="false">
      <c r="B12" s="137"/>
      <c r="C12" s="144" t="s">
        <v>185</v>
      </c>
      <c r="D12" s="141"/>
      <c r="E12" s="142"/>
      <c r="F12" s="143"/>
    </row>
    <row r="13" customFormat="false" ht="13.2" hidden="false" customHeight="false" outlineLevel="0" collapsed="false">
      <c r="B13" s="137"/>
      <c r="C13" s="144" t="s">
        <v>186</v>
      </c>
      <c r="D13" s="141"/>
      <c r="E13" s="142"/>
      <c r="F13" s="143"/>
    </row>
    <row r="14" customFormat="false" ht="13.2" hidden="false" customHeight="false" outlineLevel="0" collapsed="false">
      <c r="B14" s="137"/>
      <c r="C14" s="137"/>
      <c r="D14" s="141"/>
      <c r="E14" s="142"/>
      <c r="F14" s="143"/>
    </row>
    <row r="15" customFormat="false" ht="13.2" hidden="false" customHeight="false" outlineLevel="0" collapsed="false">
      <c r="B15" s="137"/>
      <c r="C15" s="138" t="s">
        <v>99</v>
      </c>
      <c r="D15" s="141"/>
      <c r="E15" s="142"/>
      <c r="F15" s="143"/>
    </row>
    <row r="16" customFormat="false" ht="13.2" hidden="false" customHeight="false" outlineLevel="0" collapsed="false">
      <c r="B16" s="137"/>
      <c r="C16" s="137" t="s">
        <v>187</v>
      </c>
      <c r="D16" s="141" t="n">
        <v>2</v>
      </c>
      <c r="E16" s="142"/>
      <c r="F16" s="143"/>
    </row>
    <row r="17" customFormat="false" ht="13.2" hidden="false" customHeight="false" outlineLevel="0" collapsed="false">
      <c r="B17" s="137"/>
      <c r="C17" s="137" t="s">
        <v>188</v>
      </c>
      <c r="D17" s="141" t="n">
        <v>2</v>
      </c>
      <c r="E17" s="142"/>
      <c r="F17" s="143"/>
    </row>
    <row r="18" customFormat="false" ht="13.2" hidden="false" customHeight="false" outlineLevel="0" collapsed="false">
      <c r="B18" s="137"/>
      <c r="C18" s="137"/>
      <c r="D18" s="141"/>
      <c r="E18" s="142"/>
      <c r="F18" s="143"/>
    </row>
    <row r="19" customFormat="false" ht="13.2" hidden="false" customHeight="false" outlineLevel="0" collapsed="false">
      <c r="B19" s="137"/>
      <c r="C19" s="138" t="s">
        <v>101</v>
      </c>
      <c r="D19" s="141"/>
      <c r="E19" s="142"/>
      <c r="F19" s="143"/>
    </row>
    <row r="20" customFormat="false" ht="13.2" hidden="false" customHeight="false" outlineLevel="0" collapsed="false">
      <c r="B20" s="137"/>
      <c r="C20" s="137" t="s">
        <v>189</v>
      </c>
      <c r="D20" s="141" t="n">
        <v>0.5</v>
      </c>
      <c r="E20" s="142"/>
      <c r="F20" s="143"/>
    </row>
    <row r="21" customFormat="false" ht="13.2" hidden="false" customHeight="false" outlineLevel="0" collapsed="false">
      <c r="B21" s="137"/>
      <c r="C21" s="137" t="s">
        <v>190</v>
      </c>
      <c r="D21" s="141" t="n">
        <v>0.5</v>
      </c>
      <c r="E21" s="142"/>
      <c r="F21" s="143"/>
    </row>
    <row r="22" customFormat="false" ht="13.2" hidden="false" customHeight="false" outlineLevel="0" collapsed="false">
      <c r="B22" s="137"/>
      <c r="C22" s="137"/>
      <c r="D22" s="141"/>
      <c r="E22" s="142"/>
      <c r="F22" s="143"/>
    </row>
    <row r="23" customFormat="false" ht="13.2" hidden="false" customHeight="false" outlineLevel="0" collapsed="false">
      <c r="B23" s="137"/>
      <c r="C23" s="138" t="s">
        <v>191</v>
      </c>
      <c r="D23" s="141"/>
      <c r="E23" s="142"/>
      <c r="F23" s="143"/>
    </row>
    <row r="24" customFormat="false" ht="13.2" hidden="false" customHeight="false" outlineLevel="0" collapsed="false">
      <c r="B24" s="137"/>
      <c r="C24" s="145" t="s">
        <v>192</v>
      </c>
      <c r="D24" s="141"/>
      <c r="E24" s="142"/>
      <c r="F24" s="143"/>
    </row>
    <row r="25" customFormat="false" ht="13.2" hidden="false" customHeight="false" outlineLevel="0" collapsed="false">
      <c r="B25" s="137"/>
      <c r="C25" s="137" t="s">
        <v>193</v>
      </c>
      <c r="D25" s="141" t="n">
        <v>2</v>
      </c>
      <c r="E25" s="142"/>
      <c r="F25" s="143"/>
    </row>
    <row r="26" customFormat="false" ht="13.2" hidden="false" customHeight="false" outlineLevel="0" collapsed="false">
      <c r="B26" s="137"/>
      <c r="C26" s="137" t="s">
        <v>194</v>
      </c>
      <c r="D26" s="141" t="n">
        <v>2</v>
      </c>
      <c r="E26" s="142"/>
      <c r="F26" s="143"/>
    </row>
    <row r="27" customFormat="false" ht="13.2" hidden="false" customHeight="false" outlineLevel="0" collapsed="false">
      <c r="B27" s="137"/>
      <c r="C27" s="137"/>
      <c r="D27" s="141"/>
      <c r="E27" s="142"/>
      <c r="F27" s="143"/>
    </row>
    <row r="28" customFormat="false" ht="13.2" hidden="false" customHeight="false" outlineLevel="0" collapsed="false">
      <c r="B28" s="137"/>
      <c r="C28" s="138" t="s">
        <v>195</v>
      </c>
      <c r="D28" s="141"/>
      <c r="E28" s="142"/>
      <c r="F28" s="143"/>
    </row>
    <row r="29" customFormat="false" ht="13.2" hidden="false" customHeight="false" outlineLevel="0" collapsed="false">
      <c r="B29" s="137"/>
      <c r="C29" s="137" t="s">
        <v>196</v>
      </c>
      <c r="D29" s="141" t="n">
        <v>1</v>
      </c>
      <c r="E29" s="142"/>
      <c r="F29" s="143"/>
    </row>
    <row r="30" customFormat="false" ht="13.2" hidden="false" customHeight="false" outlineLevel="0" collapsed="false">
      <c r="B30" s="137"/>
      <c r="C30" s="137" t="s">
        <v>197</v>
      </c>
      <c r="D30" s="141" t="n">
        <v>2</v>
      </c>
      <c r="E30" s="142"/>
      <c r="F30" s="143"/>
    </row>
    <row r="31" customFormat="false" ht="13.2" hidden="false" customHeight="false" outlineLevel="0" collapsed="false">
      <c r="B31" s="137"/>
      <c r="C31" s="137" t="s">
        <v>198</v>
      </c>
      <c r="D31" s="141" t="n">
        <v>1</v>
      </c>
      <c r="E31" s="142"/>
      <c r="F31" s="143"/>
    </row>
    <row r="32" customFormat="false" ht="13.2" hidden="false" customHeight="false" outlineLevel="0" collapsed="false">
      <c r="B32" s="137"/>
      <c r="C32" s="137"/>
      <c r="D32" s="141"/>
      <c r="E32" s="142"/>
      <c r="F32" s="143"/>
    </row>
    <row r="33" customFormat="false" ht="13.2" hidden="false" customHeight="false" outlineLevel="0" collapsed="false">
      <c r="B33" s="137"/>
      <c r="C33" s="137"/>
      <c r="D33" s="141"/>
      <c r="E33" s="142"/>
      <c r="F33" s="143"/>
    </row>
    <row r="34" customFormat="false" ht="13.2" hidden="false" customHeight="false" outlineLevel="0" collapsed="false">
      <c r="B34" s="137"/>
      <c r="C34" s="138" t="s">
        <v>199</v>
      </c>
      <c r="D34" s="141" t="n">
        <v>1</v>
      </c>
      <c r="E34" s="142"/>
      <c r="F34" s="143"/>
    </row>
    <row r="35" customFormat="false" ht="13.2" hidden="false" customHeight="false" outlineLevel="0" collapsed="false">
      <c r="B35" s="137"/>
      <c r="C35" s="137" t="s">
        <v>200</v>
      </c>
      <c r="D35" s="141" t="n">
        <v>1</v>
      </c>
      <c r="E35" s="142"/>
      <c r="F35" s="143"/>
    </row>
    <row r="36" customFormat="false" ht="13.2" hidden="false" customHeight="false" outlineLevel="0" collapsed="false">
      <c r="B36" s="137"/>
      <c r="C36" s="137" t="s">
        <v>201</v>
      </c>
      <c r="D36" s="141"/>
      <c r="E36" s="142"/>
      <c r="F36" s="143"/>
    </row>
    <row r="37" customFormat="false" ht="13.2" hidden="false" customHeight="false" outlineLevel="0" collapsed="false">
      <c r="B37" s="137"/>
      <c r="C37" s="137"/>
      <c r="D37" s="141"/>
      <c r="E37" s="142"/>
      <c r="F37" s="143"/>
    </row>
    <row r="38" customFormat="false" ht="13.2" hidden="false" customHeight="false" outlineLevel="0" collapsed="false">
      <c r="B38" s="137"/>
      <c r="C38" s="137"/>
      <c r="D38" s="141"/>
      <c r="E38" s="142"/>
      <c r="F38" s="143"/>
    </row>
    <row r="39" customFormat="false" ht="13.2" hidden="false" customHeight="false" outlineLevel="0" collapsed="false">
      <c r="B39" s="137"/>
      <c r="C39" s="138" t="s">
        <v>202</v>
      </c>
      <c r="D39" s="141"/>
      <c r="E39" s="142"/>
      <c r="F39" s="143"/>
    </row>
    <row r="40" customFormat="false" ht="13.2" hidden="false" customHeight="false" outlineLevel="0" collapsed="false">
      <c r="B40" s="137"/>
      <c r="C40" s="137" t="s">
        <v>203</v>
      </c>
      <c r="D40" s="141" t="n">
        <v>1</v>
      </c>
      <c r="E40" s="142"/>
      <c r="F40" s="143"/>
    </row>
    <row r="41" customFormat="false" ht="13.2" hidden="false" customHeight="false" outlineLevel="0" collapsed="false">
      <c r="B41" s="137"/>
      <c r="C41" s="137" t="s">
        <v>204</v>
      </c>
      <c r="D41" s="141" t="n">
        <v>1</v>
      </c>
      <c r="E41" s="142"/>
      <c r="F41" s="143"/>
    </row>
    <row r="42" customFormat="false" ht="13.2" hidden="false" customHeight="false" outlineLevel="0" collapsed="false">
      <c r="B42" s="137"/>
      <c r="C42" s="137" t="s">
        <v>205</v>
      </c>
      <c r="D42" s="141"/>
      <c r="E42" s="142"/>
      <c r="F42" s="143"/>
    </row>
    <row r="43" customFormat="false" ht="13.2" hidden="false" customHeight="false" outlineLevel="0" collapsed="false">
      <c r="B43" s="137"/>
      <c r="C43" s="137"/>
      <c r="D43" s="141"/>
      <c r="E43" s="142"/>
      <c r="F43" s="143"/>
    </row>
    <row r="44" customFormat="false" ht="13.2" hidden="false" customHeight="false" outlineLevel="0" collapsed="false">
      <c r="B44" s="137"/>
      <c r="C44" s="137"/>
      <c r="D44" s="141"/>
      <c r="E44" s="142"/>
      <c r="F44" s="143"/>
    </row>
    <row r="45" customFormat="false" ht="13.2" hidden="false" customHeight="false" outlineLevel="0" collapsed="false">
      <c r="B45" s="137"/>
      <c r="C45" s="138" t="s">
        <v>206</v>
      </c>
      <c r="D45" s="141"/>
      <c r="E45" s="142"/>
      <c r="F45" s="143"/>
    </row>
    <row r="46" customFormat="false" ht="13.2" hidden="false" customHeight="false" outlineLevel="0" collapsed="false">
      <c r="B46" s="137"/>
      <c r="C46" s="137" t="s">
        <v>207</v>
      </c>
      <c r="D46" s="141" t="n">
        <v>4</v>
      </c>
      <c r="E46" s="142"/>
      <c r="F46" s="143"/>
    </row>
    <row r="47" customFormat="false" ht="13.2" hidden="false" customHeight="false" outlineLevel="0" collapsed="false">
      <c r="B47" s="137"/>
      <c r="C47" s="137" t="s">
        <v>208</v>
      </c>
      <c r="D47" s="141"/>
      <c r="E47" s="142"/>
      <c r="F47" s="143"/>
    </row>
    <row r="48" customFormat="false" ht="13.2" hidden="false" customHeight="false" outlineLevel="0" collapsed="false">
      <c r="B48" s="137"/>
      <c r="C48" s="137" t="s">
        <v>209</v>
      </c>
      <c r="D48" s="141"/>
      <c r="E48" s="142"/>
      <c r="F48" s="143"/>
    </row>
    <row r="49" customFormat="false" ht="13.2" hidden="false" customHeight="false" outlineLevel="0" collapsed="false">
      <c r="B49" s="137"/>
      <c r="C49" s="137"/>
      <c r="D49" s="141"/>
      <c r="E49" s="142"/>
      <c r="F49" s="143"/>
    </row>
    <row r="50" customFormat="false" ht="13.2" hidden="false" customHeight="false" outlineLevel="0" collapsed="false">
      <c r="B50" s="137"/>
      <c r="C50" s="137" t="s">
        <v>210</v>
      </c>
      <c r="D50" s="141" t="n">
        <v>4</v>
      </c>
      <c r="E50" s="142"/>
      <c r="F50" s="143"/>
    </row>
    <row r="51" customFormat="false" ht="13.2" hidden="false" customHeight="false" outlineLevel="0" collapsed="false">
      <c r="B51" s="137"/>
      <c r="C51" s="137" t="s">
        <v>211</v>
      </c>
      <c r="D51" s="141"/>
      <c r="E51" s="142"/>
      <c r="F51" s="143"/>
    </row>
    <row r="52" customFormat="false" ht="13.2" hidden="false" customHeight="false" outlineLevel="0" collapsed="false">
      <c r="B52" s="137"/>
      <c r="C52" s="146" t="s">
        <v>212</v>
      </c>
      <c r="D52" s="141"/>
      <c r="E52" s="142"/>
      <c r="F52" s="143"/>
    </row>
    <row r="53" customFormat="false" ht="13.2" hidden="false" customHeight="false" outlineLevel="0" collapsed="false">
      <c r="B53" s="137"/>
      <c r="C53" s="137"/>
      <c r="D53" s="141"/>
      <c r="E53" s="142"/>
      <c r="F53" s="143"/>
    </row>
    <row r="54" customFormat="false" ht="13.2" hidden="false" customHeight="false" outlineLevel="0" collapsed="false">
      <c r="B54" s="137"/>
      <c r="C54" s="146" t="s">
        <v>213</v>
      </c>
      <c r="D54" s="141" t="n">
        <v>4</v>
      </c>
      <c r="E54" s="142"/>
      <c r="F54" s="143"/>
    </row>
    <row r="55" customFormat="false" ht="13.2" hidden="false" customHeight="false" outlineLevel="0" collapsed="false">
      <c r="B55" s="137"/>
      <c r="C55" s="146" t="s">
        <v>214</v>
      </c>
      <c r="D55" s="141"/>
      <c r="E55" s="142"/>
      <c r="F55" s="143"/>
    </row>
    <row r="56" customFormat="false" ht="13.2" hidden="false" customHeight="false" outlineLevel="0" collapsed="false">
      <c r="B56" s="137"/>
      <c r="C56" s="137" t="s">
        <v>215</v>
      </c>
      <c r="D56" s="141"/>
      <c r="E56" s="142"/>
      <c r="F56" s="143"/>
    </row>
    <row r="57" customFormat="false" ht="13.2" hidden="false" customHeight="false" outlineLevel="0" collapsed="false">
      <c r="B57" s="137"/>
      <c r="C57" s="146" t="s">
        <v>216</v>
      </c>
      <c r="D57" s="141"/>
      <c r="E57" s="142"/>
      <c r="F57" s="143"/>
    </row>
    <row r="58" customFormat="false" ht="13.2" hidden="false" customHeight="false" outlineLevel="0" collapsed="false">
      <c r="B58" s="137"/>
      <c r="C58" s="137"/>
      <c r="D58" s="141"/>
      <c r="E58" s="142"/>
      <c r="F58" s="143"/>
    </row>
    <row r="59" customFormat="false" ht="13.2" hidden="false" customHeight="false" outlineLevel="0" collapsed="false">
      <c r="B59" s="137"/>
      <c r="C59" s="137" t="s">
        <v>217</v>
      </c>
      <c r="D59" s="141" t="n">
        <v>4</v>
      </c>
      <c r="E59" s="142"/>
      <c r="F59" s="143"/>
    </row>
    <row r="60" customFormat="false" ht="13.2" hidden="false" customHeight="false" outlineLevel="0" collapsed="false">
      <c r="B60" s="137"/>
      <c r="C60" s="137" t="s">
        <v>218</v>
      </c>
      <c r="D60" s="141"/>
      <c r="E60" s="142"/>
      <c r="F60" s="143"/>
    </row>
    <row r="61" customFormat="false" ht="13.2" hidden="false" customHeight="false" outlineLevel="0" collapsed="false">
      <c r="B61" s="137"/>
      <c r="C61" s="137" t="s">
        <v>219</v>
      </c>
      <c r="D61" s="141"/>
      <c r="E61" s="142"/>
      <c r="F61" s="143"/>
    </row>
    <row r="62" customFormat="false" ht="13.2" hidden="false" customHeight="false" outlineLevel="0" collapsed="false">
      <c r="B62" s="137"/>
      <c r="C62" s="137" t="s">
        <v>220</v>
      </c>
      <c r="D62" s="141"/>
      <c r="E62" s="142"/>
      <c r="F62" s="143"/>
    </row>
    <row r="63" customFormat="false" ht="13.2" hidden="false" customHeight="false" outlineLevel="0" collapsed="false">
      <c r="C63" s="147"/>
      <c r="D63" s="148"/>
      <c r="E63" s="149"/>
      <c r="F63" s="150"/>
    </row>
    <row r="64" customFormat="false" ht="13.8" hidden="false" customHeight="false" outlineLevel="0" collapsed="false">
      <c r="B64" s="133"/>
      <c r="C64" s="133"/>
      <c r="D64" s="151"/>
      <c r="E64" s="151"/>
      <c r="F64" s="133"/>
    </row>
    <row r="65" customFormat="false" ht="21" hidden="false" customHeight="true" outlineLevel="0" collapsed="false">
      <c r="C65" s="152" t="s">
        <v>221</v>
      </c>
      <c r="D65" s="153" t="n">
        <f aca="false">SUM(D8:D60)</f>
        <v>40</v>
      </c>
      <c r="E65" s="154" t="n">
        <f aca="false">SUM(E8:E60)</f>
        <v>0</v>
      </c>
    </row>
    <row r="66" customFormat="false" ht="19.5" hidden="false" customHeight="true" outlineLevel="0" collapsed="false">
      <c r="C66" s="155" t="s">
        <v>222</v>
      </c>
      <c r="E66" s="156"/>
      <c r="F66" s="157" t="s">
        <v>223</v>
      </c>
    </row>
    <row r="67" customFormat="false" ht="21" hidden="false" customHeight="true" outlineLevel="0" collapsed="false">
      <c r="C67" s="158" t="s">
        <v>224</v>
      </c>
      <c r="D67" s="159"/>
      <c r="E67" s="153" t="n">
        <f aca="false">D65-(E65+E66)</f>
        <v>40</v>
      </c>
    </row>
  </sheetData>
  <printOptions headings="false" gridLines="false" gridLinesSet="true" horizontalCentered="false" verticalCentered="false"/>
  <pageMargins left="0.75" right="0.75" top="1" bottom="1" header="0.5" footer="0.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&amp;L2008&amp;CBusiness Computer Applications&amp;RScoring Guidelines</oddHeader>
    <oddFooter>&amp;R&amp;D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</TotalTime>
  <Application>LibreOffice/6.4.7.2$Linux_X86_64 LibreOffice_project/40$Build-2</Application>
  <Company>Fuqua School of Business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1998-06-16T17:37:51Z</dcterms:created>
  <dc:creator>Paula Ecklund</dc:creator>
  <dc:description/>
  <dc:language>en-US</dc:language>
  <cp:lastModifiedBy/>
  <cp:lastPrinted>2008-06-06T14:47:34Z</cp:lastPrinted>
  <dcterms:modified xsi:type="dcterms:W3CDTF">2021-05-10T05:18:00Z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Fuqua School of Business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